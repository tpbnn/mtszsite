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5 스타\2 mstzsite\"/>
    </mc:Choice>
  </mc:AlternateContent>
  <xr:revisionPtr revIDLastSave="0" documentId="13_ncr:1_{C152E897-A1C7-44EE-8C32-74B95D12728A}" xr6:coauthVersionLast="47" xr6:coauthVersionMax="47" xr10:uidLastSave="{00000000-0000-0000-0000-000000000000}"/>
  <bookViews>
    <workbookView xWindow="14595" yWindow="32280" windowWidth="29040" windowHeight="17520" xr2:uid="{806AD57A-9F83-45E9-9DEF-1FA1D4E63F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7" i="1" l="1"/>
  <c r="F997" i="1" s="1"/>
  <c r="F991" i="1"/>
  <c r="F7" i="1"/>
  <c r="E7" i="1"/>
  <c r="E991" i="1"/>
  <c r="E984" i="1"/>
  <c r="F984" i="1" s="1"/>
  <c r="E976" i="1"/>
  <c r="F976" i="1" s="1"/>
  <c r="E964" i="1"/>
  <c r="F964" i="1" s="1"/>
  <c r="E957" i="1"/>
  <c r="F957" i="1" s="1"/>
  <c r="L978" i="1"/>
  <c r="L977" i="1"/>
  <c r="L976" i="1"/>
  <c r="F971" i="1"/>
  <c r="E971" i="1"/>
  <c r="L971" i="1"/>
  <c r="L429" i="1"/>
  <c r="E425" i="1"/>
  <c r="F425" i="1" s="1"/>
  <c r="L970" i="1"/>
  <c r="L969" i="1"/>
  <c r="L968" i="1"/>
  <c r="L967" i="1"/>
  <c r="L966" i="1"/>
  <c r="L965" i="1"/>
  <c r="E948" i="1"/>
  <c r="F948" i="1" s="1"/>
  <c r="L956" i="1"/>
  <c r="L955" i="1"/>
  <c r="L954" i="1"/>
  <c r="L953" i="1"/>
  <c r="L952" i="1"/>
  <c r="L951" i="1"/>
  <c r="L950" i="1"/>
  <c r="E658" i="1"/>
  <c r="F658" i="1" s="1"/>
  <c r="E449" i="1"/>
  <c r="F449" i="1" s="1"/>
  <c r="E334" i="1"/>
  <c r="F334" i="1" s="1"/>
  <c r="E217" i="1"/>
  <c r="F217" i="1" s="1"/>
  <c r="E192" i="1"/>
  <c r="F192" i="1" s="1"/>
  <c r="E152" i="1"/>
  <c r="F152" i="1" s="1"/>
  <c r="E81" i="1"/>
  <c r="F81" i="1" s="1"/>
  <c r="E74" i="1"/>
  <c r="F74" i="1" s="1"/>
  <c r="E934" i="1"/>
  <c r="F934" i="1" s="1"/>
  <c r="E203" i="1"/>
  <c r="F203" i="1" s="1"/>
  <c r="E926" i="1"/>
  <c r="F926" i="1" s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5" i="1"/>
  <c r="L974" i="1"/>
  <c r="L973" i="1"/>
  <c r="L972" i="1"/>
  <c r="L964" i="1"/>
  <c r="L963" i="1"/>
  <c r="L962" i="1"/>
  <c r="L961" i="1"/>
  <c r="L960" i="1"/>
  <c r="L959" i="1"/>
  <c r="L958" i="1"/>
  <c r="L957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E911" i="1"/>
  <c r="F911" i="1" s="1"/>
  <c r="E919" i="1"/>
  <c r="F919" i="1" s="1"/>
  <c r="L925" i="1"/>
  <c r="L924" i="1"/>
  <c r="L923" i="1"/>
  <c r="L922" i="1"/>
  <c r="L921" i="1"/>
  <c r="L920" i="1"/>
  <c r="L919" i="1"/>
  <c r="E255" i="1"/>
  <c r="F255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2" i="1"/>
  <c r="E89" i="1"/>
  <c r="F89" i="1" s="1"/>
  <c r="E906" i="1"/>
  <c r="F906" i="1" s="1"/>
  <c r="E898" i="1"/>
  <c r="F898" i="1" s="1"/>
  <c r="E887" i="1"/>
  <c r="E880" i="1"/>
  <c r="E872" i="1"/>
  <c r="E864" i="1"/>
  <c r="F864" i="1" s="1"/>
  <c r="E858" i="1"/>
  <c r="F858" i="1" s="1"/>
  <c r="E851" i="1"/>
  <c r="F851" i="1" s="1"/>
  <c r="E841" i="1"/>
  <c r="F841" i="1" s="1"/>
  <c r="E834" i="1"/>
  <c r="F834" i="1" s="1"/>
  <c r="E826" i="1"/>
  <c r="E818" i="1"/>
  <c r="E810" i="1"/>
  <c r="F810" i="1" s="1"/>
  <c r="E805" i="1"/>
  <c r="E797" i="1"/>
  <c r="F797" i="1" s="1"/>
  <c r="E792" i="1"/>
  <c r="F792" i="1" s="1"/>
  <c r="E785" i="1"/>
  <c r="F785" i="1" s="1"/>
  <c r="E777" i="1"/>
  <c r="F777" i="1" s="1"/>
  <c r="E767" i="1"/>
  <c r="F767" i="1" s="1"/>
  <c r="E759" i="1"/>
  <c r="F759" i="1" s="1"/>
  <c r="E752" i="1"/>
  <c r="E747" i="1"/>
  <c r="F747" i="1" s="1"/>
  <c r="E741" i="1"/>
  <c r="F741" i="1" s="1"/>
  <c r="E733" i="1"/>
  <c r="F733" i="1" s="1"/>
  <c r="E726" i="1"/>
  <c r="F726" i="1" s="1"/>
  <c r="E719" i="1"/>
  <c r="F719" i="1" s="1"/>
  <c r="E712" i="1"/>
  <c r="F712" i="1" s="1"/>
  <c r="E706" i="1"/>
  <c r="F706" i="1" s="1"/>
  <c r="E697" i="1"/>
  <c r="E688" i="1"/>
  <c r="E679" i="1"/>
  <c r="F679" i="1" s="1"/>
  <c r="E668" i="1"/>
  <c r="F668" i="1" s="1"/>
  <c r="E651" i="1"/>
  <c r="F651" i="1" s="1"/>
  <c r="E642" i="1"/>
  <c r="E633" i="1"/>
  <c r="F633" i="1" s="1"/>
  <c r="E629" i="1"/>
  <c r="E625" i="1"/>
  <c r="F625" i="1" s="1"/>
  <c r="E612" i="1"/>
  <c r="F612" i="1" s="1"/>
  <c r="E606" i="1"/>
  <c r="E600" i="1"/>
  <c r="F600" i="1" s="1"/>
  <c r="E595" i="1"/>
  <c r="F595" i="1" s="1"/>
  <c r="E589" i="1"/>
  <c r="F589" i="1" s="1"/>
  <c r="E582" i="1"/>
  <c r="E576" i="1"/>
  <c r="F576" i="1" s="1"/>
  <c r="E569" i="1"/>
  <c r="E562" i="1"/>
  <c r="E555" i="1"/>
  <c r="E547" i="1"/>
  <c r="F547" i="1" s="1"/>
  <c r="E537" i="1"/>
  <c r="E530" i="1"/>
  <c r="F530" i="1" s="1"/>
  <c r="E524" i="1"/>
  <c r="F524" i="1" s="1"/>
  <c r="E518" i="1"/>
  <c r="F518" i="1" s="1"/>
  <c r="E508" i="1"/>
  <c r="F508" i="1" s="1"/>
  <c r="E497" i="1"/>
  <c r="F497" i="1" s="1"/>
  <c r="E490" i="1"/>
  <c r="F490" i="1" s="1"/>
  <c r="E482" i="1"/>
  <c r="E474" i="1"/>
  <c r="F474" i="1" s="1"/>
  <c r="E467" i="1"/>
  <c r="F467" i="1" s="1"/>
  <c r="E458" i="1"/>
  <c r="F458" i="1" s="1"/>
  <c r="E454" i="1"/>
  <c r="F454" i="1" s="1"/>
  <c r="E442" i="1"/>
  <c r="E435" i="1"/>
  <c r="F435" i="1" s="1"/>
  <c r="E430" i="1"/>
  <c r="F430" i="1" s="1"/>
  <c r="E416" i="1"/>
  <c r="F416" i="1" s="1"/>
  <c r="E408" i="1"/>
  <c r="F408" i="1" s="1"/>
  <c r="E401" i="1"/>
  <c r="F401" i="1" s="1"/>
  <c r="E391" i="1"/>
  <c r="F391" i="1" s="1"/>
  <c r="E382" i="1"/>
  <c r="F382" i="1" s="1"/>
  <c r="E377" i="1"/>
  <c r="F377" i="1" s="1"/>
  <c r="E371" i="1"/>
  <c r="F371" i="1" s="1"/>
  <c r="E363" i="1"/>
  <c r="E355" i="1"/>
  <c r="F355" i="1" s="1"/>
  <c r="E348" i="1"/>
  <c r="F348" i="1" s="1"/>
  <c r="E339" i="1"/>
  <c r="F339" i="1" s="1"/>
  <c r="E326" i="1"/>
  <c r="E318" i="1"/>
  <c r="F318" i="1" s="1"/>
  <c r="E312" i="1"/>
  <c r="F312" i="1" s="1"/>
  <c r="E303" i="1"/>
  <c r="F303" i="1" s="1"/>
  <c r="E294" i="1"/>
  <c r="E284" i="1"/>
  <c r="F284" i="1" s="1"/>
  <c r="E280" i="1"/>
  <c r="F280" i="1" s="1"/>
  <c r="E271" i="1"/>
  <c r="F271" i="1" s="1"/>
  <c r="E263" i="1"/>
  <c r="F263" i="1" s="1"/>
  <c r="E248" i="1"/>
  <c r="F248" i="1" s="1"/>
  <c r="E240" i="1"/>
  <c r="F240" i="1" s="1"/>
  <c r="E233" i="1"/>
  <c r="F233" i="1" s="1"/>
  <c r="E224" i="1"/>
  <c r="F224" i="1" s="1"/>
  <c r="E208" i="1"/>
  <c r="F208" i="1" s="1"/>
  <c r="E184" i="1"/>
  <c r="F184" i="1" s="1"/>
  <c r="E176" i="1"/>
  <c r="F176" i="1" s="1"/>
  <c r="E170" i="1"/>
  <c r="F170" i="1" s="1"/>
  <c r="E165" i="1"/>
  <c r="F165" i="1" s="1"/>
  <c r="E158" i="1"/>
  <c r="E145" i="1"/>
  <c r="E138" i="1"/>
  <c r="E131" i="1"/>
  <c r="F131" i="1" s="1"/>
  <c r="E123" i="1"/>
  <c r="F123" i="1" s="1"/>
  <c r="E106" i="1"/>
  <c r="F106" i="1" s="1"/>
  <c r="E95" i="1"/>
  <c r="F95" i="1" s="1"/>
  <c r="E66" i="1"/>
  <c r="E58" i="1"/>
  <c r="F58" i="1" s="1"/>
  <c r="E52" i="1"/>
  <c r="F52" i="1" s="1"/>
  <c r="E43" i="1"/>
  <c r="E34" i="1"/>
  <c r="E25" i="1"/>
  <c r="F25" i="1" s="1"/>
  <c r="E18" i="1"/>
  <c r="F18" i="1"/>
  <c r="F11" i="1"/>
  <c r="E11" i="1"/>
  <c r="F2" i="1"/>
  <c r="E2" i="1"/>
  <c r="G997" i="1" l="1"/>
  <c r="D991" i="1"/>
  <c r="G984" i="1"/>
  <c r="G976" i="1"/>
  <c r="G971" i="1"/>
  <c r="G964" i="1"/>
  <c r="G957" i="1"/>
  <c r="G948" i="1"/>
  <c r="G934" i="1"/>
  <c r="G926" i="1"/>
  <c r="G919" i="1"/>
  <c r="F887" i="1"/>
  <c r="D887" i="1" s="1"/>
  <c r="F752" i="1"/>
  <c r="D752" i="1" s="1"/>
  <c r="G911" i="1"/>
  <c r="G906" i="1"/>
  <c r="G898" i="1"/>
  <c r="F880" i="1"/>
  <c r="G880" i="1" s="1"/>
  <c r="F872" i="1"/>
  <c r="G872" i="1" s="1"/>
  <c r="G864" i="1"/>
  <c r="G858" i="1"/>
  <c r="G851" i="1"/>
  <c r="G841" i="1"/>
  <c r="G834" i="1"/>
  <c r="F826" i="1"/>
  <c r="G826" i="1" s="1"/>
  <c r="F818" i="1"/>
  <c r="G818" i="1" s="1"/>
  <c r="G810" i="1"/>
  <c r="F805" i="1"/>
  <c r="G805" i="1" s="1"/>
  <c r="G797" i="1"/>
  <c r="G792" i="1"/>
  <c r="G785" i="1"/>
  <c r="G777" i="1"/>
  <c r="G767" i="1"/>
  <c r="G759" i="1"/>
  <c r="D747" i="1"/>
  <c r="G741" i="1"/>
  <c r="G733" i="1"/>
  <c r="G726" i="1"/>
  <c r="G719" i="1"/>
  <c r="G712" i="1"/>
  <c r="G706" i="1"/>
  <c r="F697" i="1"/>
  <c r="G697" i="1" s="1"/>
  <c r="F688" i="1"/>
  <c r="G688" i="1" s="1"/>
  <c r="G679" i="1"/>
  <c r="G668" i="1"/>
  <c r="G658" i="1"/>
  <c r="G651" i="1"/>
  <c r="F642" i="1"/>
  <c r="G642" i="1" s="1"/>
  <c r="G633" i="1"/>
  <c r="F629" i="1"/>
  <c r="G629" i="1" s="1"/>
  <c r="G625" i="1"/>
  <c r="D612" i="1"/>
  <c r="F606" i="1"/>
  <c r="G606" i="1" s="1"/>
  <c r="G600" i="1"/>
  <c r="G595" i="1"/>
  <c r="G589" i="1"/>
  <c r="F582" i="1"/>
  <c r="G582" i="1" s="1"/>
  <c r="G576" i="1"/>
  <c r="F569" i="1"/>
  <c r="G569" i="1" s="1"/>
  <c r="F562" i="1"/>
  <c r="G562" i="1" s="1"/>
  <c r="F555" i="1"/>
  <c r="G555" i="1" s="1"/>
  <c r="G547" i="1"/>
  <c r="F537" i="1"/>
  <c r="G537" i="1" s="1"/>
  <c r="G530" i="1"/>
  <c r="G524" i="1"/>
  <c r="G518" i="1"/>
  <c r="G508" i="1"/>
  <c r="G497" i="1"/>
  <c r="G490" i="1"/>
  <c r="F482" i="1"/>
  <c r="G482" i="1" s="1"/>
  <c r="G474" i="1"/>
  <c r="G467" i="1"/>
  <c r="G458" i="1"/>
  <c r="D454" i="1"/>
  <c r="G449" i="1"/>
  <c r="F442" i="1"/>
  <c r="G442" i="1" s="1"/>
  <c r="G435" i="1"/>
  <c r="G430" i="1"/>
  <c r="G425" i="1"/>
  <c r="G416" i="1"/>
  <c r="G408" i="1"/>
  <c r="G401" i="1"/>
  <c r="G391" i="1"/>
  <c r="G382" i="1"/>
  <c r="G377" i="1"/>
  <c r="G371" i="1"/>
  <c r="F363" i="1"/>
  <c r="G363" i="1" s="1"/>
  <c r="G355" i="1"/>
  <c r="G348" i="1"/>
  <c r="G339" i="1"/>
  <c r="G334" i="1"/>
  <c r="F326" i="1"/>
  <c r="G326" i="1" s="1"/>
  <c r="G318" i="1"/>
  <c r="G312" i="1"/>
  <c r="D11" i="1"/>
  <c r="G303" i="1"/>
  <c r="F294" i="1"/>
  <c r="G294" i="1" s="1"/>
  <c r="G284" i="1"/>
  <c r="G280" i="1"/>
  <c r="G271" i="1"/>
  <c r="G263" i="1"/>
  <c r="G255" i="1"/>
  <c r="D248" i="1"/>
  <c r="G240" i="1"/>
  <c r="G233" i="1"/>
  <c r="G224" i="1"/>
  <c r="G217" i="1"/>
  <c r="G208" i="1"/>
  <c r="G203" i="1"/>
  <c r="G192" i="1"/>
  <c r="G184" i="1"/>
  <c r="G176" i="1"/>
  <c r="G170" i="1"/>
  <c r="G165" i="1"/>
  <c r="F158" i="1"/>
  <c r="G158" i="1" s="1"/>
  <c r="G152" i="1"/>
  <c r="F145" i="1"/>
  <c r="G145" i="1" s="1"/>
  <c r="F138" i="1"/>
  <c r="D138" i="1" s="1"/>
  <c r="G131" i="1"/>
  <c r="G123" i="1"/>
  <c r="G113" i="1"/>
  <c r="G106" i="1"/>
  <c r="G95" i="1"/>
  <c r="D2" i="1"/>
  <c r="G7" i="1"/>
  <c r="G89" i="1"/>
  <c r="G81" i="1"/>
  <c r="G74" i="1"/>
  <c r="F66" i="1"/>
  <c r="G66" i="1" s="1"/>
  <c r="G58" i="1"/>
  <c r="G52" i="1"/>
  <c r="F43" i="1"/>
  <c r="G43" i="1" s="1"/>
  <c r="F34" i="1"/>
  <c r="G34" i="1" s="1"/>
  <c r="G25" i="1"/>
  <c r="D25" i="1"/>
  <c r="D7" i="1"/>
  <c r="G18" i="1"/>
  <c r="D18" i="1"/>
  <c r="G11" i="1"/>
  <c r="G2" i="1"/>
  <c r="D997" i="1" l="1"/>
  <c r="G887" i="1"/>
  <c r="G991" i="1"/>
  <c r="D984" i="1"/>
  <c r="D976" i="1"/>
  <c r="D971" i="1"/>
  <c r="D964" i="1"/>
  <c r="D957" i="1"/>
  <c r="D948" i="1"/>
  <c r="D934" i="1"/>
  <c r="D926" i="1"/>
  <c r="D919" i="1"/>
  <c r="G752" i="1"/>
  <c r="D911" i="1"/>
  <c r="D906" i="1"/>
  <c r="D880" i="1"/>
  <c r="D872" i="1"/>
  <c r="D864" i="1"/>
  <c r="D858" i="1"/>
  <c r="D851" i="1"/>
  <c r="D834" i="1"/>
  <c r="D826" i="1"/>
  <c r="D818" i="1"/>
  <c r="D810" i="1"/>
  <c r="D805" i="1"/>
  <c r="D797" i="1"/>
  <c r="D792" i="1"/>
  <c r="D785" i="1"/>
  <c r="D777" i="1"/>
  <c r="D767" i="1"/>
  <c r="G747" i="1"/>
  <c r="D741" i="1"/>
  <c r="D733" i="1"/>
  <c r="D726" i="1"/>
  <c r="D719" i="1"/>
  <c r="D712" i="1"/>
  <c r="D706" i="1"/>
  <c r="D688" i="1"/>
  <c r="D679" i="1"/>
  <c r="D668" i="1"/>
  <c r="D658" i="1"/>
  <c r="D651" i="1"/>
  <c r="D633" i="1"/>
  <c r="D629" i="1"/>
  <c r="D625" i="1"/>
  <c r="G612" i="1"/>
  <c r="D606" i="1"/>
  <c r="D600" i="1"/>
  <c r="D595" i="1"/>
  <c r="D589" i="1"/>
  <c r="D582" i="1"/>
  <c r="D576" i="1"/>
  <c r="D569" i="1"/>
  <c r="D562" i="1"/>
  <c r="D555" i="1"/>
  <c r="D547" i="1"/>
  <c r="D537" i="1"/>
  <c r="D530" i="1"/>
  <c r="D524" i="1"/>
  <c r="D518" i="1"/>
  <c r="D508" i="1"/>
  <c r="D497" i="1"/>
  <c r="D490" i="1"/>
  <c r="D482" i="1"/>
  <c r="D474" i="1"/>
  <c r="D467" i="1"/>
  <c r="D458" i="1"/>
  <c r="G454" i="1"/>
  <c r="D449" i="1"/>
  <c r="D442" i="1"/>
  <c r="D435" i="1"/>
  <c r="D430" i="1"/>
  <c r="D425" i="1"/>
  <c r="D416" i="1"/>
  <c r="D401" i="1"/>
  <c r="D391" i="1"/>
  <c r="D382" i="1"/>
  <c r="D377" i="1"/>
  <c r="D371" i="1"/>
  <c r="D363" i="1"/>
  <c r="D355" i="1"/>
  <c r="D348" i="1"/>
  <c r="D339" i="1"/>
  <c r="D334" i="1"/>
  <c r="D326" i="1"/>
  <c r="D318" i="1"/>
  <c r="D312" i="1"/>
  <c r="D303" i="1"/>
  <c r="D294" i="1"/>
  <c r="D280" i="1"/>
  <c r="D271" i="1"/>
  <c r="D263" i="1"/>
  <c r="D255" i="1"/>
  <c r="G248" i="1"/>
  <c r="D240" i="1"/>
  <c r="D233" i="1"/>
  <c r="D224" i="1"/>
  <c r="D217" i="1"/>
  <c r="D208" i="1"/>
  <c r="D203" i="1"/>
  <c r="D192" i="1"/>
  <c r="D184" i="1"/>
  <c r="D176" i="1"/>
  <c r="D170" i="1"/>
  <c r="D165" i="1"/>
  <c r="D158" i="1"/>
  <c r="D152" i="1"/>
  <c r="D145" i="1"/>
  <c r="G138" i="1"/>
  <c r="D131" i="1"/>
  <c r="D123" i="1"/>
  <c r="D113" i="1"/>
  <c r="D106" i="1"/>
  <c r="D95" i="1"/>
  <c r="D43" i="1"/>
  <c r="D89" i="1"/>
  <c r="D74" i="1"/>
  <c r="D66" i="1"/>
  <c r="D58" i="1"/>
  <c r="D52" i="1"/>
  <c r="D34" i="1"/>
</calcChain>
</file>

<file path=xl/sharedStrings.xml><?xml version="1.0" encoding="utf-8"?>
<sst xmlns="http://schemas.openxmlformats.org/spreadsheetml/2006/main" count="4698" uniqueCount="1384">
  <si>
    <t>상대</t>
    <phoneticPr fontId="2" type="noConversion"/>
  </si>
  <si>
    <t>날짜</t>
    <phoneticPr fontId="2" type="noConversion"/>
  </si>
  <si>
    <t>유형</t>
    <phoneticPr fontId="2" type="noConversion"/>
  </si>
  <si>
    <t>승</t>
    <phoneticPr fontId="2" type="noConversion"/>
  </si>
  <si>
    <t>패</t>
    <phoneticPr fontId="2" type="noConversion"/>
  </si>
  <si>
    <t>승률</t>
    <phoneticPr fontId="2" type="noConversion"/>
  </si>
  <si>
    <t>2026.03.16</t>
    <phoneticPr fontId="2" type="noConversion"/>
  </si>
  <si>
    <t>노적단</t>
    <phoneticPr fontId="2" type="noConversion"/>
  </si>
  <si>
    <t>토마토</t>
    <phoneticPr fontId="2" type="noConversion"/>
  </si>
  <si>
    <t>김인호</t>
    <phoneticPr fontId="2" type="noConversion"/>
  </si>
  <si>
    <t>박쭈이</t>
    <phoneticPr fontId="2" type="noConversion"/>
  </si>
  <si>
    <t>우질</t>
    <phoneticPr fontId="2" type="noConversion"/>
  </si>
  <si>
    <t>아라미</t>
    <phoneticPr fontId="2" type="noConversion"/>
  </si>
  <si>
    <t>선수 이름</t>
    <phoneticPr fontId="2" type="noConversion"/>
  </si>
  <si>
    <t>결과</t>
    <phoneticPr fontId="2" type="noConversion"/>
  </si>
  <si>
    <t>상대 선수</t>
    <phoneticPr fontId="2" type="noConversion"/>
  </si>
  <si>
    <t>소주양</t>
    <phoneticPr fontId="2" type="noConversion"/>
  </si>
  <si>
    <t>비타밍</t>
    <phoneticPr fontId="2" type="noConversion"/>
  </si>
  <si>
    <t>임조이</t>
    <phoneticPr fontId="2" type="noConversion"/>
  </si>
  <si>
    <t>진땅콩</t>
    <phoneticPr fontId="2" type="noConversion"/>
  </si>
  <si>
    <t>2라니</t>
    <phoneticPr fontId="2" type="noConversion"/>
  </si>
  <si>
    <t>김무아</t>
    <phoneticPr fontId="2" type="noConversion"/>
  </si>
  <si>
    <t>2026.04.02</t>
    <phoneticPr fontId="2" type="noConversion"/>
  </si>
  <si>
    <t>연합팀</t>
    <phoneticPr fontId="2" type="noConversion"/>
  </si>
  <si>
    <t>사테</t>
    <phoneticPr fontId="2" type="noConversion"/>
  </si>
  <si>
    <t>지두두</t>
    <phoneticPr fontId="2" type="noConversion"/>
  </si>
  <si>
    <t>지동원</t>
    <phoneticPr fontId="2" type="noConversion"/>
  </si>
  <si>
    <t>김윤중</t>
    <phoneticPr fontId="2" type="noConversion"/>
  </si>
  <si>
    <t>박하악</t>
    <phoneticPr fontId="2" type="noConversion"/>
  </si>
  <si>
    <t>요닝</t>
    <phoneticPr fontId="2" type="noConversion"/>
  </si>
  <si>
    <t>박재혁</t>
    <phoneticPr fontId="2" type="noConversion"/>
  </si>
  <si>
    <t>set</t>
    <phoneticPr fontId="2" type="noConversion"/>
  </si>
  <si>
    <t>란란</t>
    <phoneticPr fontId="2" type="noConversion"/>
  </si>
  <si>
    <t>경기결과</t>
    <phoneticPr fontId="2" type="noConversion"/>
  </si>
  <si>
    <t>2026.04.07</t>
    <phoneticPr fontId="2" type="noConversion"/>
  </si>
  <si>
    <t>박준오</t>
    <phoneticPr fontId="2" type="noConversion"/>
  </si>
  <si>
    <t>찌킹</t>
    <phoneticPr fontId="2" type="noConversion"/>
  </si>
  <si>
    <t>김윤환</t>
    <phoneticPr fontId="2" type="noConversion"/>
  </si>
  <si>
    <t>배성흠</t>
    <phoneticPr fontId="2" type="noConversion"/>
  </si>
  <si>
    <t>먼진</t>
    <phoneticPr fontId="2" type="noConversion"/>
  </si>
  <si>
    <t>윤용태</t>
    <phoneticPr fontId="2" type="noConversion"/>
  </si>
  <si>
    <t>뚜미</t>
    <phoneticPr fontId="2" type="noConversion"/>
  </si>
  <si>
    <t>만두호성</t>
    <phoneticPr fontId="2" type="noConversion"/>
  </si>
  <si>
    <t>배호딱</t>
    <phoneticPr fontId="2" type="noConversion"/>
  </si>
  <si>
    <t>사사삼</t>
    <phoneticPr fontId="2" type="noConversion"/>
  </si>
  <si>
    <t>비고</t>
    <phoneticPr fontId="2" type="noConversion"/>
  </si>
  <si>
    <t>세트스코어 2:0</t>
    <phoneticPr fontId="2" type="noConversion"/>
  </si>
  <si>
    <t>끝장전</t>
    <phoneticPr fontId="2" type="noConversion"/>
  </si>
  <si>
    <t>2026.04.17</t>
    <phoneticPr fontId="2" type="noConversion"/>
  </si>
  <si>
    <t>아리송이</t>
    <phoneticPr fontId="2" type="noConversion"/>
  </si>
  <si>
    <t>파도튜브</t>
    <phoneticPr fontId="2" type="noConversion"/>
  </si>
  <si>
    <t>면추가</t>
    <phoneticPr fontId="2" type="noConversion"/>
  </si>
  <si>
    <t>은조</t>
    <phoneticPr fontId="2" type="noConversion"/>
  </si>
  <si>
    <t>정소윤</t>
    <phoneticPr fontId="2" type="noConversion"/>
  </si>
  <si>
    <t>2026.04.25</t>
    <phoneticPr fontId="2" type="noConversion"/>
  </si>
  <si>
    <t>대학대전</t>
    <phoneticPr fontId="2" type="noConversion"/>
  </si>
  <si>
    <t>뉴캣슬</t>
    <phoneticPr fontId="2" type="noConversion"/>
  </si>
  <si>
    <t>막내현진</t>
    <phoneticPr fontId="2" type="noConversion"/>
  </si>
  <si>
    <t>진유성</t>
    <phoneticPr fontId="2" type="noConversion"/>
  </si>
  <si>
    <t>퀸주</t>
    <phoneticPr fontId="2" type="noConversion"/>
  </si>
  <si>
    <t>최도랑</t>
    <phoneticPr fontId="2" type="noConversion"/>
  </si>
  <si>
    <t>백갑숙</t>
    <phoneticPr fontId="2" type="noConversion"/>
  </si>
  <si>
    <t>밍또얌</t>
    <phoneticPr fontId="2" type="noConversion"/>
  </si>
  <si>
    <t>2026.05.03</t>
    <phoneticPr fontId="2" type="noConversion"/>
  </si>
  <si>
    <t>2026.05.20</t>
    <phoneticPr fontId="2" type="noConversion"/>
  </si>
  <si>
    <t>엠비대</t>
    <phoneticPr fontId="2" type="noConversion"/>
  </si>
  <si>
    <t>치리</t>
    <phoneticPr fontId="2" type="noConversion"/>
  </si>
  <si>
    <t>주하랑</t>
    <phoneticPr fontId="2" type="noConversion"/>
  </si>
  <si>
    <t>김채이</t>
    <phoneticPr fontId="2" type="noConversion"/>
  </si>
  <si>
    <t>시녕뭉</t>
    <phoneticPr fontId="2" type="noConversion"/>
  </si>
  <si>
    <t>최세상</t>
    <phoneticPr fontId="2" type="noConversion"/>
  </si>
  <si>
    <t>정다닝</t>
    <phoneticPr fontId="2" type="noConversion"/>
  </si>
  <si>
    <t>오하얀</t>
    <phoneticPr fontId="2" type="noConversion"/>
  </si>
  <si>
    <t>구보라</t>
    <phoneticPr fontId="2" type="noConversion"/>
  </si>
  <si>
    <t>권아온</t>
    <phoneticPr fontId="2" type="noConversion"/>
  </si>
  <si>
    <t>2026.03.14</t>
    <phoneticPr fontId="2" type="noConversion"/>
  </si>
  <si>
    <t>햇살</t>
    <phoneticPr fontId="2" type="noConversion"/>
  </si>
  <si>
    <t>엄보리</t>
    <phoneticPr fontId="2" type="noConversion"/>
  </si>
  <si>
    <t>하리</t>
    <phoneticPr fontId="2" type="noConversion"/>
  </si>
  <si>
    <t>엄키키</t>
    <phoneticPr fontId="2" type="noConversion"/>
  </si>
  <si>
    <t>링고</t>
    <phoneticPr fontId="2" type="noConversion"/>
  </si>
  <si>
    <t>2026.03.08</t>
    <phoneticPr fontId="2" type="noConversion"/>
  </si>
  <si>
    <t>수술대</t>
    <phoneticPr fontId="2" type="noConversion"/>
  </si>
  <si>
    <t>조일장</t>
    <phoneticPr fontId="2" type="noConversion"/>
  </si>
  <si>
    <t>짭제다</t>
    <phoneticPr fontId="2" type="noConversion"/>
  </si>
  <si>
    <t>주서리</t>
    <phoneticPr fontId="2" type="noConversion"/>
  </si>
  <si>
    <t>공다츠</t>
    <phoneticPr fontId="2" type="noConversion"/>
  </si>
  <si>
    <t>파찌</t>
    <phoneticPr fontId="2" type="noConversion"/>
  </si>
  <si>
    <t>행복짱</t>
    <phoneticPr fontId="2" type="noConversion"/>
  </si>
  <si>
    <t>밍가</t>
    <phoneticPr fontId="2" type="noConversion"/>
  </si>
  <si>
    <t>핑핑</t>
    <phoneticPr fontId="2" type="noConversion"/>
  </si>
  <si>
    <t>깨림이</t>
    <phoneticPr fontId="2" type="noConversion"/>
  </si>
  <si>
    <t>2026.03.05</t>
    <phoneticPr fontId="2" type="noConversion"/>
  </si>
  <si>
    <t>이노대</t>
    <phoneticPr fontId="2" type="noConversion"/>
  </si>
  <si>
    <t>미니대전</t>
    <phoneticPr fontId="2" type="noConversion"/>
  </si>
  <si>
    <t>라운이</t>
    <phoneticPr fontId="2" type="noConversion"/>
  </si>
  <si>
    <t>수니양</t>
    <phoneticPr fontId="2" type="noConversion"/>
  </si>
  <si>
    <t>다뉴</t>
    <phoneticPr fontId="2" type="noConversion"/>
  </si>
  <si>
    <t>김말랑</t>
    <phoneticPr fontId="2" type="noConversion"/>
  </si>
  <si>
    <t>2026.03.03</t>
    <phoneticPr fontId="2" type="noConversion"/>
  </si>
  <si>
    <t>JSA</t>
    <phoneticPr fontId="2" type="noConversion"/>
  </si>
  <si>
    <t>홍구</t>
    <phoneticPr fontId="2" type="noConversion"/>
  </si>
  <si>
    <t>나린</t>
    <phoneticPr fontId="2" type="noConversion"/>
  </si>
  <si>
    <t>백원이야</t>
    <phoneticPr fontId="2" type="noConversion"/>
  </si>
  <si>
    <t>김태향</t>
    <phoneticPr fontId="2" type="noConversion"/>
  </si>
  <si>
    <t>밥새</t>
    <phoneticPr fontId="2" type="noConversion"/>
  </si>
  <si>
    <t>조기석</t>
    <phoneticPr fontId="2" type="noConversion"/>
  </si>
  <si>
    <t>라미</t>
    <phoneticPr fontId="2" type="noConversion"/>
  </si>
  <si>
    <t>황병영</t>
    <phoneticPr fontId="2" type="noConversion"/>
  </si>
  <si>
    <t>2026.02.27</t>
    <phoneticPr fontId="2" type="noConversion"/>
  </si>
  <si>
    <t>늪지대</t>
    <phoneticPr fontId="2" type="noConversion"/>
  </si>
  <si>
    <t>연블비</t>
    <phoneticPr fontId="2" type="noConversion"/>
  </si>
  <si>
    <t>예실</t>
    <phoneticPr fontId="2" type="noConversion"/>
  </si>
  <si>
    <t>초롱빡</t>
    <phoneticPr fontId="2" type="noConversion"/>
  </si>
  <si>
    <t>슈슈</t>
    <phoneticPr fontId="2" type="noConversion"/>
  </si>
  <si>
    <t>다라츄</t>
    <phoneticPr fontId="2" type="noConversion"/>
  </si>
  <si>
    <t>2026.02.23</t>
    <phoneticPr fontId="2" type="noConversion"/>
  </si>
  <si>
    <t>정선대</t>
    <phoneticPr fontId="2" type="noConversion"/>
  </si>
  <si>
    <t>no</t>
    <phoneticPr fontId="2" type="noConversion"/>
  </si>
  <si>
    <t>세트스코어 1:2</t>
    <phoneticPr fontId="2" type="noConversion"/>
  </si>
  <si>
    <t>빵리나</t>
    <phoneticPr fontId="2" type="noConversion"/>
  </si>
  <si>
    <t>은서</t>
    <phoneticPr fontId="2" type="noConversion"/>
  </si>
  <si>
    <t>설둥이</t>
    <phoneticPr fontId="2" type="noConversion"/>
  </si>
  <si>
    <t>정선숲퍼컵 8강</t>
    <phoneticPr fontId="2" type="noConversion"/>
  </si>
  <si>
    <t>정선숲퍼컵 예선</t>
    <phoneticPr fontId="2" type="noConversion"/>
  </si>
  <si>
    <t>2026.02.22</t>
    <phoneticPr fontId="2" type="noConversion"/>
  </si>
  <si>
    <t>2026.02.21</t>
    <phoneticPr fontId="2" type="noConversion"/>
  </si>
  <si>
    <t>김성대</t>
    <phoneticPr fontId="2" type="noConversion"/>
  </si>
  <si>
    <t>이재호</t>
    <phoneticPr fontId="2" type="noConversion"/>
  </si>
  <si>
    <t>9set 암든룰 2점</t>
    <phoneticPr fontId="2" type="noConversion"/>
  </si>
  <si>
    <t>2026.02.20</t>
    <phoneticPr fontId="2" type="noConversion"/>
  </si>
  <si>
    <t>씨나인</t>
    <phoneticPr fontId="2" type="noConversion"/>
  </si>
  <si>
    <t>디임</t>
    <phoneticPr fontId="2" type="noConversion"/>
  </si>
  <si>
    <t>효짱</t>
    <phoneticPr fontId="2" type="noConversion"/>
  </si>
  <si>
    <t>이지다</t>
    <phoneticPr fontId="2" type="noConversion"/>
  </si>
  <si>
    <t>남수댕</t>
    <phoneticPr fontId="2" type="noConversion"/>
  </si>
  <si>
    <t>2026.02.19</t>
    <phoneticPr fontId="2" type="noConversion"/>
  </si>
  <si>
    <t>냥냥코기</t>
    <phoneticPr fontId="2" type="noConversion"/>
  </si>
  <si>
    <t>유이</t>
    <phoneticPr fontId="2" type="noConversion"/>
  </si>
  <si>
    <t>2026.02.15</t>
    <phoneticPr fontId="2" type="noConversion"/>
  </si>
  <si>
    <t>2026.02.14</t>
    <phoneticPr fontId="2" type="noConversion"/>
  </si>
  <si>
    <t>김민철</t>
    <phoneticPr fontId="2" type="noConversion"/>
  </si>
  <si>
    <t>2026.02.10</t>
    <phoneticPr fontId="2" type="noConversion"/>
  </si>
  <si>
    <t>나예리</t>
    <phoneticPr fontId="2" type="noConversion"/>
  </si>
  <si>
    <t>세트스코어 0:2</t>
    <phoneticPr fontId="2" type="noConversion"/>
  </si>
  <si>
    <t>이경민</t>
    <phoneticPr fontId="2" type="noConversion"/>
  </si>
  <si>
    <t>2026.02.09</t>
    <phoneticPr fontId="2" type="noConversion"/>
  </si>
  <si>
    <t>2026.02.08</t>
    <phoneticPr fontId="2" type="noConversion"/>
  </si>
  <si>
    <t>2026.02.07</t>
    <phoneticPr fontId="2" type="noConversion"/>
  </si>
  <si>
    <t>소심</t>
    <phoneticPr fontId="2" type="noConversion"/>
  </si>
  <si>
    <t>선정은</t>
    <phoneticPr fontId="2" type="noConversion"/>
  </si>
  <si>
    <t>2026.02.04</t>
    <phoneticPr fontId="2" type="noConversion"/>
  </si>
  <si>
    <t>상어녀</t>
    <phoneticPr fontId="2" type="noConversion"/>
  </si>
  <si>
    <t>쥬나</t>
    <phoneticPr fontId="2" type="noConversion"/>
  </si>
  <si>
    <t>강덕구</t>
    <phoneticPr fontId="2" type="noConversion"/>
  </si>
  <si>
    <t>박수범</t>
    <phoneticPr fontId="2" type="noConversion"/>
  </si>
  <si>
    <t>장민철</t>
    <phoneticPr fontId="2" type="noConversion"/>
  </si>
  <si>
    <t>윤진규</t>
    <phoneticPr fontId="2" type="noConversion"/>
  </si>
  <si>
    <t>2026.01.30</t>
    <phoneticPr fontId="2" type="noConversion"/>
  </si>
  <si>
    <t>흑설</t>
    <phoneticPr fontId="2" type="noConversion"/>
  </si>
  <si>
    <t>2026.01.26</t>
    <phoneticPr fontId="2" type="noConversion"/>
  </si>
  <si>
    <t>구라미스</t>
    <phoneticPr fontId="2" type="noConversion"/>
  </si>
  <si>
    <t>도재욱</t>
    <phoneticPr fontId="2" type="noConversion"/>
  </si>
  <si>
    <t>2026.01.25</t>
    <phoneticPr fontId="2" type="noConversion"/>
  </si>
  <si>
    <t>2026.01.21</t>
    <phoneticPr fontId="2" type="noConversion"/>
  </si>
  <si>
    <t>제티</t>
    <phoneticPr fontId="2" type="noConversion"/>
  </si>
  <si>
    <t>배병우</t>
    <phoneticPr fontId="2" type="noConversion"/>
  </si>
  <si>
    <t>박성균</t>
    <phoneticPr fontId="2" type="noConversion"/>
  </si>
  <si>
    <t>김범수</t>
    <phoneticPr fontId="2" type="noConversion"/>
  </si>
  <si>
    <t>2026.01.20</t>
    <phoneticPr fontId="2" type="noConversion"/>
  </si>
  <si>
    <t>CK/PL</t>
  </si>
  <si>
    <t>CK/PL</t>
    <phoneticPr fontId="2" type="noConversion"/>
  </si>
  <si>
    <t>2025.12.09</t>
    <phoneticPr fontId="2" type="noConversion"/>
  </si>
  <si>
    <t>2025.10.29</t>
    <phoneticPr fontId="2" type="noConversion"/>
  </si>
  <si>
    <t>와플대</t>
    <phoneticPr fontId="2" type="noConversion"/>
  </si>
  <si>
    <t>족인호컵 예선</t>
    <phoneticPr fontId="2" type="noConversion"/>
  </si>
  <si>
    <t>다예</t>
    <phoneticPr fontId="2" type="noConversion"/>
  </si>
  <si>
    <t>모리</t>
    <phoneticPr fontId="2" type="noConversion"/>
  </si>
  <si>
    <t>단양</t>
    <phoneticPr fontId="2" type="noConversion"/>
  </si>
  <si>
    <t>김설</t>
    <phoneticPr fontId="2" type="noConversion"/>
  </si>
  <si>
    <t>꼬니부깅</t>
    <phoneticPr fontId="2" type="noConversion"/>
  </si>
  <si>
    <t>2025.10.26</t>
    <phoneticPr fontId="2" type="noConversion"/>
  </si>
  <si>
    <t>두디</t>
    <phoneticPr fontId="2" type="noConversion"/>
  </si>
  <si>
    <t>카히리</t>
    <phoneticPr fontId="2" type="noConversion"/>
  </si>
  <si>
    <t>이영한</t>
    <phoneticPr fontId="2" type="noConversion"/>
  </si>
  <si>
    <t>비재희</t>
    <phoneticPr fontId="2" type="noConversion"/>
  </si>
  <si>
    <t>2025.10.22</t>
    <phoneticPr fontId="2" type="noConversion"/>
  </si>
  <si>
    <t>YB</t>
    <phoneticPr fontId="2" type="noConversion"/>
  </si>
  <si>
    <t>태영</t>
    <phoneticPr fontId="2" type="noConversion"/>
  </si>
  <si>
    <t>하랑e</t>
    <phoneticPr fontId="2" type="noConversion"/>
  </si>
  <si>
    <t>우리밍</t>
    <phoneticPr fontId="2" type="noConversion"/>
  </si>
  <si>
    <t>2025.10.21</t>
    <phoneticPr fontId="2" type="noConversion"/>
  </si>
  <si>
    <t>세트스코어 2:1</t>
    <phoneticPr fontId="2" type="noConversion"/>
  </si>
  <si>
    <t>2025.10.20</t>
    <phoneticPr fontId="2" type="noConversion"/>
  </si>
  <si>
    <t>귀요민정</t>
    <phoneticPr fontId="2" type="noConversion"/>
  </si>
  <si>
    <t>기나</t>
    <phoneticPr fontId="2" type="noConversion"/>
  </si>
  <si>
    <t>묘아</t>
    <phoneticPr fontId="2" type="noConversion"/>
  </si>
  <si>
    <t>정소이</t>
    <phoneticPr fontId="2" type="noConversion"/>
  </si>
  <si>
    <t>2025.10.18</t>
    <phoneticPr fontId="2" type="noConversion"/>
  </si>
  <si>
    <t>뷰러</t>
    <phoneticPr fontId="2" type="noConversion"/>
  </si>
  <si>
    <t>박듀듀</t>
    <phoneticPr fontId="2" type="noConversion"/>
  </si>
  <si>
    <t>몽순</t>
    <phoneticPr fontId="2" type="noConversion"/>
  </si>
  <si>
    <t>2025.10.17</t>
    <phoneticPr fontId="2" type="noConversion"/>
  </si>
  <si>
    <t>금선</t>
    <phoneticPr fontId="2" type="noConversion"/>
  </si>
  <si>
    <t>슬아</t>
    <phoneticPr fontId="2" type="noConversion"/>
  </si>
  <si>
    <t>2025.10.16</t>
    <phoneticPr fontId="2" type="noConversion"/>
  </si>
  <si>
    <t>오조은</t>
    <phoneticPr fontId="2" type="noConversion"/>
  </si>
  <si>
    <t>하두링</t>
    <phoneticPr fontId="2" type="noConversion"/>
  </si>
  <si>
    <t>졈니</t>
    <phoneticPr fontId="2" type="noConversion"/>
  </si>
  <si>
    <t>나무늘봉순</t>
    <phoneticPr fontId="2" type="noConversion"/>
  </si>
  <si>
    <t>2025.10.15</t>
    <phoneticPr fontId="2" type="noConversion"/>
  </si>
  <si>
    <t>2025.10.14</t>
    <phoneticPr fontId="2" type="noConversion"/>
  </si>
  <si>
    <t>예빈</t>
    <phoneticPr fontId="2" type="noConversion"/>
  </si>
  <si>
    <t>키링</t>
    <phoneticPr fontId="2" type="noConversion"/>
  </si>
  <si>
    <t>임밍지</t>
    <phoneticPr fontId="2" type="noConversion"/>
  </si>
  <si>
    <t>흑카데미</t>
    <phoneticPr fontId="2" type="noConversion"/>
  </si>
  <si>
    <t>정윤종</t>
    <phoneticPr fontId="2" type="noConversion"/>
  </si>
  <si>
    <t>몽군</t>
    <phoneticPr fontId="2" type="noConversion"/>
  </si>
  <si>
    <t>히엉</t>
    <phoneticPr fontId="2" type="noConversion"/>
  </si>
  <si>
    <t>메옹</t>
    <phoneticPr fontId="2" type="noConversion"/>
  </si>
  <si>
    <t>2025.10.02</t>
    <phoneticPr fontId="2" type="noConversion"/>
  </si>
  <si>
    <t>이영호</t>
    <phoneticPr fontId="2" type="noConversion"/>
  </si>
  <si>
    <t>오리꿍</t>
    <phoneticPr fontId="2" type="noConversion"/>
  </si>
  <si>
    <t>2025.09.29</t>
    <phoneticPr fontId="2" type="noConversion"/>
  </si>
  <si>
    <t>케이대</t>
    <phoneticPr fontId="2" type="noConversion"/>
  </si>
  <si>
    <t>내가먼지</t>
    <phoneticPr fontId="2" type="noConversion"/>
  </si>
  <si>
    <t>늑대채린</t>
    <phoneticPr fontId="2" type="noConversion"/>
  </si>
  <si>
    <t>또해영</t>
    <phoneticPr fontId="2" type="noConversion"/>
  </si>
  <si>
    <t>양유정</t>
    <phoneticPr fontId="2" type="noConversion"/>
  </si>
  <si>
    <t>규리야</t>
    <phoneticPr fontId="2" type="noConversion"/>
  </si>
  <si>
    <t>김뽀뇨</t>
    <phoneticPr fontId="2" type="noConversion"/>
  </si>
  <si>
    <t>슬돌이</t>
    <phoneticPr fontId="2" type="noConversion"/>
  </si>
  <si>
    <t>2025.09.27</t>
    <phoneticPr fontId="2" type="noConversion"/>
  </si>
  <si>
    <t>2025.09.26</t>
    <phoneticPr fontId="2" type="noConversion"/>
  </si>
  <si>
    <t>고석현</t>
    <phoneticPr fontId="2" type="noConversion"/>
  </si>
  <si>
    <t>연얘인</t>
    <phoneticPr fontId="2" type="noConversion"/>
  </si>
  <si>
    <t>송병구</t>
    <phoneticPr fontId="2" type="noConversion"/>
  </si>
  <si>
    <t>렘레미</t>
    <phoneticPr fontId="2" type="noConversion"/>
  </si>
  <si>
    <t>안부</t>
    <phoneticPr fontId="2" type="noConversion"/>
  </si>
  <si>
    <t>2025.09.21</t>
    <phoneticPr fontId="2" type="noConversion"/>
  </si>
  <si>
    <t xml:space="preserve">2025.09.20 </t>
    <phoneticPr fontId="2" type="noConversion"/>
  </si>
  <si>
    <t>2025.09.19</t>
    <phoneticPr fontId="2" type="noConversion"/>
  </si>
  <si>
    <t>나는토끼</t>
    <phoneticPr fontId="2" type="noConversion"/>
  </si>
  <si>
    <t>림예이</t>
    <phoneticPr fontId="2" type="noConversion"/>
  </si>
  <si>
    <t>유복실</t>
    <phoneticPr fontId="2" type="noConversion"/>
  </si>
  <si>
    <t>히댕</t>
    <phoneticPr fontId="2" type="noConversion"/>
  </si>
  <si>
    <t>2025.09.16</t>
    <phoneticPr fontId="2" type="noConversion"/>
  </si>
  <si>
    <t>링가</t>
    <phoneticPr fontId="2" type="noConversion"/>
  </si>
  <si>
    <t>2025.09.12</t>
    <phoneticPr fontId="2" type="noConversion"/>
  </si>
  <si>
    <t>깨모다</t>
    <phoneticPr fontId="2" type="noConversion"/>
  </si>
  <si>
    <t>홍덕</t>
    <phoneticPr fontId="2" type="noConversion"/>
  </si>
  <si>
    <t>정민기</t>
    <phoneticPr fontId="2" type="noConversion"/>
  </si>
  <si>
    <t>정영재</t>
    <phoneticPr fontId="2" type="noConversion"/>
  </si>
  <si>
    <t>장윤철</t>
    <phoneticPr fontId="2" type="noConversion"/>
  </si>
  <si>
    <t>이제동</t>
    <phoneticPr fontId="2" type="noConversion"/>
  </si>
  <si>
    <t>2025.09.11</t>
    <phoneticPr fontId="2" type="noConversion"/>
  </si>
  <si>
    <t>2025.09.06</t>
    <phoneticPr fontId="2" type="noConversion"/>
  </si>
  <si>
    <t>이아깽</t>
    <phoneticPr fontId="2" type="noConversion"/>
  </si>
  <si>
    <t>임진묵</t>
    <phoneticPr fontId="2" type="noConversion"/>
  </si>
  <si>
    <t>무찌</t>
    <phoneticPr fontId="2" type="noConversion"/>
  </si>
  <si>
    <t>2025.08.23</t>
    <phoneticPr fontId="2" type="noConversion"/>
  </si>
  <si>
    <t>진영화</t>
    <phoneticPr fontId="2" type="noConversion"/>
  </si>
  <si>
    <t>김정우</t>
    <phoneticPr fontId="2" type="noConversion"/>
  </si>
  <si>
    <t>2025.08.21</t>
    <phoneticPr fontId="2" type="noConversion"/>
  </si>
  <si>
    <t>뚜비</t>
    <phoneticPr fontId="2" type="noConversion"/>
  </si>
  <si>
    <t>구성훈</t>
    <phoneticPr fontId="2" type="noConversion"/>
  </si>
  <si>
    <t>2025.08.16</t>
    <phoneticPr fontId="2" type="noConversion"/>
  </si>
  <si>
    <t>잔훈</t>
    <phoneticPr fontId="2" type="noConversion"/>
  </si>
  <si>
    <t>미후</t>
    <phoneticPr fontId="2" type="noConversion"/>
  </si>
  <si>
    <t>펭지</t>
    <phoneticPr fontId="2" type="noConversion"/>
  </si>
  <si>
    <t>2025.08.09</t>
    <phoneticPr fontId="2" type="noConversion"/>
  </si>
  <si>
    <t>이예훈</t>
    <phoneticPr fontId="2" type="noConversion"/>
  </si>
  <si>
    <t>어윤수</t>
    <phoneticPr fontId="2" type="noConversion"/>
  </si>
  <si>
    <t>윤수철</t>
    <phoneticPr fontId="2" type="noConversion"/>
  </si>
  <si>
    <t>김지성</t>
    <phoneticPr fontId="2" type="noConversion"/>
  </si>
  <si>
    <t>변현제</t>
    <phoneticPr fontId="2" type="noConversion"/>
  </si>
  <si>
    <t>JPL2</t>
    <phoneticPr fontId="2" type="noConversion"/>
  </si>
  <si>
    <t>짱다</t>
    <phoneticPr fontId="2" type="noConversion"/>
  </si>
  <si>
    <t>앵지</t>
    <phoneticPr fontId="2" type="noConversion"/>
  </si>
  <si>
    <t>2025.07.13</t>
    <phoneticPr fontId="2" type="noConversion"/>
  </si>
  <si>
    <t>2025.07.10</t>
    <phoneticPr fontId="2" type="noConversion"/>
  </si>
  <si>
    <t>한쪼니</t>
    <phoneticPr fontId="2" type="noConversion"/>
  </si>
  <si>
    <t>빵지니</t>
    <phoneticPr fontId="2" type="noConversion"/>
  </si>
  <si>
    <t>세나</t>
    <phoneticPr fontId="2" type="noConversion"/>
  </si>
  <si>
    <t>쟈닌</t>
    <phoneticPr fontId="2" type="noConversion"/>
  </si>
  <si>
    <t>히추</t>
    <phoneticPr fontId="2" type="noConversion"/>
  </si>
  <si>
    <t>또봉순</t>
    <phoneticPr fontId="2" type="noConversion"/>
  </si>
  <si>
    <t>2025.07.01</t>
    <phoneticPr fontId="2" type="noConversion"/>
  </si>
  <si>
    <t>2025.06.28</t>
    <phoneticPr fontId="2" type="noConversion"/>
  </si>
  <si>
    <t>빵미유</t>
    <phoneticPr fontId="2" type="noConversion"/>
  </si>
  <si>
    <t>2025.06.25</t>
    <phoneticPr fontId="2" type="noConversion"/>
  </si>
  <si>
    <t>키모야</t>
    <phoneticPr fontId="2" type="noConversion"/>
  </si>
  <si>
    <t>최하니</t>
    <phoneticPr fontId="2" type="noConversion"/>
  </si>
  <si>
    <t>2025.06.18</t>
    <phoneticPr fontId="2" type="noConversion"/>
  </si>
  <si>
    <t>2025.06.12</t>
    <phoneticPr fontId="2" type="noConversion"/>
  </si>
  <si>
    <t>2025.06.07</t>
    <phoneticPr fontId="2" type="noConversion"/>
  </si>
  <si>
    <t>애공</t>
    <phoneticPr fontId="2" type="noConversion"/>
  </si>
  <si>
    <t>2025.05.28</t>
    <phoneticPr fontId="2" type="noConversion"/>
  </si>
  <si>
    <t>장독대</t>
    <phoneticPr fontId="2" type="noConversion"/>
  </si>
  <si>
    <t>2025.05.17</t>
    <phoneticPr fontId="2" type="noConversion"/>
  </si>
  <si>
    <t>하블리</t>
    <phoneticPr fontId="2" type="noConversion"/>
  </si>
  <si>
    <t>수입뿌드</t>
    <phoneticPr fontId="2" type="noConversion"/>
  </si>
  <si>
    <t>다린</t>
    <phoneticPr fontId="2" type="noConversion"/>
  </si>
  <si>
    <t>2025.05.09</t>
    <phoneticPr fontId="2" type="noConversion"/>
  </si>
  <si>
    <t>구루미</t>
    <phoneticPr fontId="2" type="noConversion"/>
  </si>
  <si>
    <t>밍도릿</t>
    <phoneticPr fontId="2" type="noConversion"/>
  </si>
  <si>
    <t>모꿀몬</t>
    <phoneticPr fontId="2" type="noConversion"/>
  </si>
  <si>
    <t>2025.05.01</t>
    <phoneticPr fontId="2" type="noConversion"/>
  </si>
  <si>
    <t>연수</t>
    <phoneticPr fontId="2" type="noConversion"/>
  </si>
  <si>
    <t>다나짱</t>
    <phoneticPr fontId="2" type="noConversion"/>
  </si>
  <si>
    <t>2025.04.24</t>
    <phoneticPr fontId="2" type="noConversion"/>
  </si>
  <si>
    <t>거성대</t>
    <phoneticPr fontId="2" type="noConversion"/>
  </si>
  <si>
    <t>연애인</t>
    <phoneticPr fontId="2" type="noConversion"/>
  </si>
  <si>
    <t>2025.04.19</t>
    <phoneticPr fontId="2" type="noConversion"/>
  </si>
  <si>
    <t>호성</t>
    <phoneticPr fontId="2" type="noConversion"/>
  </si>
  <si>
    <t>우힝</t>
    <phoneticPr fontId="2" type="noConversion"/>
  </si>
  <si>
    <t>2025.04.10</t>
    <phoneticPr fontId="2" type="noConversion"/>
  </si>
  <si>
    <t>혜로로</t>
    <phoneticPr fontId="2" type="noConversion"/>
  </si>
  <si>
    <t>으냉이</t>
    <phoneticPr fontId="2" type="noConversion"/>
  </si>
  <si>
    <t>하루묭</t>
    <phoneticPr fontId="2" type="noConversion"/>
  </si>
  <si>
    <t>2025.04.04</t>
    <phoneticPr fontId="2" type="noConversion"/>
  </si>
  <si>
    <t>따냥잉</t>
    <phoneticPr fontId="2" type="noConversion"/>
  </si>
  <si>
    <t>2025.03.31</t>
    <phoneticPr fontId="2" type="noConversion"/>
  </si>
  <si>
    <t>남덕선</t>
    <phoneticPr fontId="2" type="noConversion"/>
  </si>
  <si>
    <t>2025.03.21</t>
    <phoneticPr fontId="2" type="noConversion"/>
  </si>
  <si>
    <t>2025.03.18</t>
    <phoneticPr fontId="2" type="noConversion"/>
  </si>
  <si>
    <t>2025.03.16</t>
    <phoneticPr fontId="2" type="noConversion"/>
  </si>
  <si>
    <t>2025.03.13</t>
    <phoneticPr fontId="2" type="noConversion"/>
  </si>
  <si>
    <t>윤진</t>
    <phoneticPr fontId="2" type="noConversion"/>
  </si>
  <si>
    <t>2025.03.06</t>
    <phoneticPr fontId="2" type="noConversion"/>
  </si>
  <si>
    <t>2025.03.05</t>
    <phoneticPr fontId="2" type="noConversion"/>
  </si>
  <si>
    <t>혜지연</t>
    <phoneticPr fontId="2" type="noConversion"/>
  </si>
  <si>
    <t>옥이</t>
    <phoneticPr fontId="2" type="noConversion"/>
  </si>
  <si>
    <t>따뜻</t>
    <phoneticPr fontId="2" type="noConversion"/>
  </si>
  <si>
    <t>2025.03.03</t>
    <phoneticPr fontId="2" type="noConversion"/>
  </si>
  <si>
    <t>2025.03.02</t>
    <phoneticPr fontId="2" type="noConversion"/>
  </si>
  <si>
    <t>2025.03.01</t>
    <phoneticPr fontId="2" type="noConversion"/>
  </si>
  <si>
    <t>엘퀸</t>
    <phoneticPr fontId="2" type="noConversion"/>
  </si>
  <si>
    <t>2025.02.28</t>
    <phoneticPr fontId="2" type="noConversion"/>
  </si>
  <si>
    <t>2025.02.27</t>
    <phoneticPr fontId="2" type="noConversion"/>
  </si>
  <si>
    <t>전태양</t>
    <phoneticPr fontId="2" type="noConversion"/>
  </si>
  <si>
    <t>2024.12.23</t>
    <phoneticPr fontId="2" type="noConversion"/>
  </si>
  <si>
    <t>야리</t>
    <phoneticPr fontId="2" type="noConversion"/>
  </si>
  <si>
    <t>2024.12.15</t>
    <phoneticPr fontId="2" type="noConversion"/>
  </si>
  <si>
    <t>갓지니</t>
    <phoneticPr fontId="2" type="noConversion"/>
  </si>
  <si>
    <t>2024.12.08</t>
    <phoneticPr fontId="2" type="noConversion"/>
  </si>
  <si>
    <t>소림사</t>
    <phoneticPr fontId="2" type="noConversion"/>
  </si>
  <si>
    <t>라네트배 결승</t>
    <phoneticPr fontId="2" type="noConversion"/>
  </si>
  <si>
    <t>라네트배 4강</t>
    <phoneticPr fontId="2" type="noConversion"/>
  </si>
  <si>
    <t>방실이</t>
    <phoneticPr fontId="2" type="noConversion"/>
  </si>
  <si>
    <t>라네트배 8강</t>
    <phoneticPr fontId="2" type="noConversion"/>
  </si>
  <si>
    <t>2024.11.27</t>
    <phoneticPr fontId="2" type="noConversion"/>
  </si>
  <si>
    <t>라네트배 예선</t>
    <phoneticPr fontId="2" type="noConversion"/>
  </si>
  <si>
    <t>럭뜨</t>
    <phoneticPr fontId="2" type="noConversion"/>
  </si>
  <si>
    <t>얌쭈</t>
    <phoneticPr fontId="2" type="noConversion"/>
  </si>
  <si>
    <t>2024.11.24</t>
    <phoneticPr fontId="2" type="noConversion"/>
  </si>
  <si>
    <t>2024.11.21</t>
    <phoneticPr fontId="2" type="noConversion"/>
  </si>
  <si>
    <t>2024.11.17</t>
    <phoneticPr fontId="2" type="noConversion"/>
  </si>
  <si>
    <t>2024.11.09</t>
    <phoneticPr fontId="2" type="noConversion"/>
  </si>
  <si>
    <t>2024.11.05</t>
    <phoneticPr fontId="2" type="noConversion"/>
  </si>
  <si>
    <t>2024.11.03</t>
    <phoneticPr fontId="2" type="noConversion"/>
  </si>
  <si>
    <t>유영진</t>
    <phoneticPr fontId="2" type="noConversion"/>
  </si>
  <si>
    <t>2024.10.26</t>
    <phoneticPr fontId="2" type="noConversion"/>
  </si>
  <si>
    <t>우끼끼즈</t>
    <phoneticPr fontId="2" type="noConversion"/>
  </si>
  <si>
    <t>2024.10.19</t>
    <phoneticPr fontId="2" type="noConversion"/>
  </si>
  <si>
    <t>신상문</t>
    <phoneticPr fontId="2" type="noConversion"/>
  </si>
  <si>
    <t>원선재</t>
    <phoneticPr fontId="2" type="noConversion"/>
  </si>
  <si>
    <t>2024.10.15</t>
    <phoneticPr fontId="2" type="noConversion"/>
  </si>
  <si>
    <t>섭이대</t>
    <phoneticPr fontId="2" type="noConversion"/>
  </si>
  <si>
    <t>주콩이</t>
    <phoneticPr fontId="2" type="noConversion"/>
  </si>
  <si>
    <t>2024.10.12</t>
    <phoneticPr fontId="2" type="noConversion"/>
  </si>
  <si>
    <t>2024.10.06</t>
    <phoneticPr fontId="2" type="noConversion"/>
  </si>
  <si>
    <t>시먼지</t>
    <phoneticPr fontId="2" type="noConversion"/>
  </si>
  <si>
    <t>브희</t>
    <phoneticPr fontId="2" type="noConversion"/>
  </si>
  <si>
    <t>2024.07.16</t>
    <phoneticPr fontId="2" type="noConversion"/>
  </si>
  <si>
    <t>양양</t>
    <phoneticPr fontId="2" type="noConversion"/>
  </si>
  <si>
    <t>양</t>
    <phoneticPr fontId="2" type="noConversion"/>
  </si>
  <si>
    <t>유승곤</t>
    <phoneticPr fontId="2" type="noConversion"/>
  </si>
  <si>
    <t>2024.09.28</t>
    <phoneticPr fontId="2" type="noConversion"/>
  </si>
  <si>
    <t>2024.08.06</t>
    <phoneticPr fontId="2" type="noConversion"/>
  </si>
  <si>
    <t>2024.09.22</t>
    <phoneticPr fontId="2" type="noConversion"/>
  </si>
  <si>
    <t>진자림</t>
    <phoneticPr fontId="2" type="noConversion"/>
  </si>
  <si>
    <t>시조새</t>
    <phoneticPr fontId="2" type="noConversion"/>
  </si>
  <si>
    <t>뿌리</t>
    <phoneticPr fontId="2" type="noConversion"/>
  </si>
  <si>
    <t>2024.09.18</t>
    <phoneticPr fontId="2" type="noConversion"/>
  </si>
  <si>
    <t>2024.09.12</t>
    <phoneticPr fontId="2" type="noConversion"/>
  </si>
  <si>
    <t>강새이</t>
    <phoneticPr fontId="2" type="noConversion"/>
  </si>
  <si>
    <t>2024.09.08</t>
    <phoneticPr fontId="2" type="noConversion"/>
  </si>
  <si>
    <t>오리</t>
    <phoneticPr fontId="2" type="noConversion"/>
  </si>
  <si>
    <t>2024.08.04</t>
    <phoneticPr fontId="2" type="noConversion"/>
  </si>
  <si>
    <t>다츠</t>
    <phoneticPr fontId="2" type="noConversion"/>
  </si>
  <si>
    <t>연두</t>
  </si>
  <si>
    <t>2024.07.14</t>
    <phoneticPr fontId="2" type="noConversion"/>
  </si>
  <si>
    <t>연두</t>
    <phoneticPr fontId="2" type="noConversion"/>
  </si>
  <si>
    <t>2024.07.11</t>
    <phoneticPr fontId="2" type="noConversion"/>
  </si>
  <si>
    <t>프발</t>
    <phoneticPr fontId="2" type="noConversion"/>
  </si>
  <si>
    <t>연쿰척</t>
    <phoneticPr fontId="2" type="noConversion"/>
  </si>
  <si>
    <t>정경두</t>
    <phoneticPr fontId="2" type="noConversion"/>
  </si>
  <si>
    <t>상대팀이름</t>
    <phoneticPr fontId="2" type="noConversion"/>
  </si>
  <si>
    <t>경기 유형</t>
    <phoneticPr fontId="2" type="noConversion"/>
  </si>
  <si>
    <t>경기 결과</t>
    <phoneticPr fontId="2" type="noConversion"/>
  </si>
  <si>
    <t>패배</t>
    <phoneticPr fontId="2" type="noConversion"/>
  </si>
  <si>
    <t>참고내용</t>
    <phoneticPr fontId="2" type="noConversion"/>
  </si>
  <si>
    <t>세트</t>
    <phoneticPr fontId="2" type="noConversion"/>
  </si>
  <si>
    <t>출전 선수</t>
    <phoneticPr fontId="2" type="noConversion"/>
  </si>
  <si>
    <t>상대선수</t>
    <phoneticPr fontId="2" type="noConversion"/>
  </si>
  <si>
    <t>김김김</t>
    <phoneticPr fontId="2" type="noConversion"/>
  </si>
  <si>
    <t>이이이</t>
    <phoneticPr fontId="2" type="noConversion"/>
  </si>
  <si>
    <t>박박박</t>
    <phoneticPr fontId="2" type="noConversion"/>
  </si>
  <si>
    <t>최최최</t>
    <phoneticPr fontId="2" type="noConversion"/>
  </si>
  <si>
    <t>성성성</t>
    <phoneticPr fontId="2" type="noConversion"/>
  </si>
  <si>
    <t>강강강</t>
    <phoneticPr fontId="2" type="noConversion"/>
  </si>
  <si>
    <t>약약약</t>
    <phoneticPr fontId="2" type="noConversion"/>
  </si>
  <si>
    <t>AAA</t>
    <phoneticPr fontId="2" type="noConversion"/>
  </si>
  <si>
    <t>BBB</t>
    <phoneticPr fontId="2" type="noConversion"/>
  </si>
  <si>
    <t>DDD</t>
    <phoneticPr fontId="2" type="noConversion"/>
  </si>
  <si>
    <t>CCC</t>
    <phoneticPr fontId="2" type="noConversion"/>
  </si>
  <si>
    <t>EEE</t>
    <phoneticPr fontId="2" type="noConversion"/>
  </si>
  <si>
    <t>FFF</t>
    <phoneticPr fontId="2" type="noConversion"/>
  </si>
  <si>
    <t>GGG</t>
    <phoneticPr fontId="2" type="noConversion"/>
  </si>
  <si>
    <t>&lt;팀 전적 표시&gt;</t>
    <phoneticPr fontId="2" type="noConversion"/>
  </si>
  <si>
    <t>&lt;선수별 전적&gt;</t>
    <phoneticPr fontId="2" type="noConversion"/>
  </si>
  <si>
    <t>총 전적</t>
    <phoneticPr fontId="2" type="noConversion"/>
  </si>
  <si>
    <t>n승 n패 승률%</t>
    <phoneticPr fontId="2" type="noConversion"/>
  </si>
  <si>
    <t>상대선수이름</t>
    <phoneticPr fontId="2" type="noConversion"/>
  </si>
  <si>
    <t>(비고 셀에 url이 있으면 Youtube_logo.png를 띄우고 새창으로 열기)</t>
    <phoneticPr fontId="2" type="noConversion"/>
  </si>
  <si>
    <t>자세히보기 (자세히보기 누르면 아래 내용 펼치기/접기)</t>
    <phoneticPr fontId="2" type="noConversion"/>
  </si>
  <si>
    <t>https://youtu.be/iRpuGdmXXsU?si=jwM630UmGhHFboHQ&amp;t=4769</t>
  </si>
  <si>
    <t>url</t>
    <phoneticPr fontId="2" type="noConversion"/>
  </si>
  <si>
    <t>종족</t>
    <phoneticPr fontId="2" type="noConversion"/>
  </si>
  <si>
    <t>P</t>
    <phoneticPr fontId="2" type="noConversion"/>
  </si>
  <si>
    <t>Z</t>
    <phoneticPr fontId="2" type="noConversion"/>
  </si>
  <si>
    <t>T</t>
    <phoneticPr fontId="2" type="noConversion"/>
  </si>
  <si>
    <t>박수범</t>
    <phoneticPr fontId="2" type="noConversion"/>
  </si>
  <si>
    <t>수입뿌드</t>
    <phoneticPr fontId="2" type="noConversion"/>
  </si>
  <si>
    <t>이경민</t>
    <phoneticPr fontId="2" type="noConversion"/>
  </si>
  <si>
    <t>황병영</t>
    <phoneticPr fontId="2" type="noConversion"/>
  </si>
  <si>
    <t>조일장</t>
    <phoneticPr fontId="2" type="noConversion"/>
  </si>
  <si>
    <t>졈니</t>
    <phoneticPr fontId="2" type="noConversion"/>
  </si>
  <si>
    <t>디임</t>
    <phoneticPr fontId="2" type="noConversion"/>
  </si>
  <si>
    <t>앵지</t>
    <phoneticPr fontId="2" type="noConversion"/>
  </si>
  <si>
    <t>막내현진</t>
    <phoneticPr fontId="2" type="noConversion"/>
  </si>
  <si>
    <t>한쪼니</t>
    <phoneticPr fontId="2" type="noConversion"/>
  </si>
  <si>
    <t>강덕구</t>
    <phoneticPr fontId="2" type="noConversion"/>
  </si>
  <si>
    <t>효짱</t>
    <phoneticPr fontId="2" type="noConversion"/>
  </si>
  <si>
    <t>모리</t>
    <phoneticPr fontId="2" type="noConversion"/>
  </si>
  <si>
    <t>몽군</t>
    <phoneticPr fontId="2" type="noConversion"/>
  </si>
  <si>
    <t>치리</t>
    <phoneticPr fontId="2" type="noConversion"/>
  </si>
  <si>
    <t>주하랑</t>
    <phoneticPr fontId="2" type="noConversion"/>
  </si>
  <si>
    <t>햇살</t>
    <phoneticPr fontId="2" type="noConversion"/>
  </si>
  <si>
    <t>다예</t>
    <phoneticPr fontId="2" type="noConversion"/>
  </si>
  <si>
    <t>두디</t>
    <phoneticPr fontId="2" type="noConversion"/>
  </si>
  <si>
    <t>세나</t>
    <phoneticPr fontId="2" type="noConversion"/>
  </si>
  <si>
    <t>정윤종</t>
    <phoneticPr fontId="2" type="noConversion"/>
  </si>
  <si>
    <t>&lt;- 선수 이름</t>
    <phoneticPr fontId="2" type="noConversion"/>
  </si>
  <si>
    <t>URL</t>
    <phoneticPr fontId="2" type="noConversion"/>
  </si>
  <si>
    <t>&lt;-선수별로 보기 버튼 (대학대전과 미니대전 유형만 보여줌)</t>
    <phoneticPr fontId="2" type="noConversion"/>
  </si>
  <si>
    <t>참고열1</t>
    <phoneticPr fontId="2" type="noConversion"/>
  </si>
  <si>
    <t>참고열2</t>
    <phoneticPr fontId="2" type="noConversion"/>
  </si>
  <si>
    <t>선수 전적용 리스트</t>
    <phoneticPr fontId="2" type="noConversion"/>
  </si>
  <si>
    <t>김윤환</t>
    <phoneticPr fontId="2" type="noConversion"/>
  </si>
  <si>
    <t>박준오</t>
    <phoneticPr fontId="2" type="noConversion"/>
  </si>
  <si>
    <t>지동원</t>
    <phoneticPr fontId="2" type="noConversion"/>
  </si>
  <si>
    <t>토마토</t>
    <phoneticPr fontId="2" type="noConversion"/>
  </si>
  <si>
    <t>임조이</t>
    <phoneticPr fontId="2" type="noConversion"/>
  </si>
  <si>
    <t>진땅콩</t>
    <phoneticPr fontId="2" type="noConversion"/>
  </si>
  <si>
    <t>소주양</t>
    <phoneticPr fontId="2" type="noConversion"/>
  </si>
  <si>
    <t>먼진</t>
    <phoneticPr fontId="2" type="noConversion"/>
  </si>
  <si>
    <t>비타밍</t>
    <phoneticPr fontId="2" type="noConversion"/>
  </si>
  <si>
    <t>지두두</t>
    <phoneticPr fontId="2" type="noConversion"/>
  </si>
  <si>
    <t>아리송이</t>
    <phoneticPr fontId="2" type="noConversion"/>
  </si>
  <si>
    <t>찌킹</t>
    <phoneticPr fontId="2" type="noConversion"/>
  </si>
  <si>
    <t>낭니</t>
    <phoneticPr fontId="2" type="noConversion"/>
  </si>
  <si>
    <t>파도튜브</t>
    <phoneticPr fontId="2" type="noConversion"/>
  </si>
  <si>
    <t>배성흠</t>
    <phoneticPr fontId="2" type="noConversion"/>
  </si>
  <si>
    <t>사테</t>
    <phoneticPr fontId="2" type="noConversion"/>
  </si>
  <si>
    <t>2026.05.13</t>
    <phoneticPr fontId="2" type="noConversion"/>
  </si>
  <si>
    <t>연합팀</t>
    <phoneticPr fontId="2" type="noConversion"/>
  </si>
  <si>
    <t>CK/PL</t>
    <phoneticPr fontId="2" type="noConversion"/>
  </si>
  <si>
    <t>지동원</t>
    <phoneticPr fontId="2" type="noConversion"/>
  </si>
  <si>
    <t>파도튜브</t>
    <phoneticPr fontId="2" type="noConversion"/>
  </si>
  <si>
    <t>박준오</t>
    <phoneticPr fontId="2" type="noConversion"/>
  </si>
  <si>
    <t>박수범</t>
    <phoneticPr fontId="2" type="noConversion"/>
  </si>
  <si>
    <t>사테</t>
    <phoneticPr fontId="2" type="noConversion"/>
  </si>
  <si>
    <t>배성흠</t>
    <phoneticPr fontId="2" type="noConversion"/>
  </si>
  <si>
    <t>김범수</t>
    <phoneticPr fontId="2" type="noConversion"/>
  </si>
  <si>
    <t>박성준</t>
    <phoneticPr fontId="2" type="noConversion"/>
  </si>
  <si>
    <t>왜냐맨</t>
    <phoneticPr fontId="2" type="noConversion"/>
  </si>
  <si>
    <t>박성균</t>
    <phoneticPr fontId="2" type="noConversion"/>
  </si>
  <si>
    <t>구성훈</t>
    <phoneticPr fontId="2" type="noConversion"/>
  </si>
  <si>
    <t>김성대</t>
    <phoneticPr fontId="2" type="noConversion"/>
  </si>
  <si>
    <t>민찬기</t>
    <phoneticPr fontId="2" type="noConversion"/>
  </si>
  <si>
    <t>2026.05.25</t>
    <phoneticPr fontId="2" type="noConversion"/>
  </si>
  <si>
    <t>중국팀</t>
    <phoneticPr fontId="2" type="noConversion"/>
  </si>
  <si>
    <t>박수범</t>
    <phoneticPr fontId="2" type="noConversion"/>
  </si>
  <si>
    <t>미후</t>
    <phoneticPr fontId="2" type="noConversion"/>
  </si>
  <si>
    <t>제이스타</t>
    <phoneticPr fontId="2" type="noConversion"/>
  </si>
  <si>
    <t>샤오슈아이</t>
    <phoneticPr fontId="2" type="noConversion"/>
  </si>
  <si>
    <t>지동원</t>
    <phoneticPr fontId="2" type="noConversion"/>
  </si>
  <si>
    <t>https://youtu.be/iRpuGdmXXsU?si=kGSdVWL13Q7tor4f&amp;t=5358</t>
  </si>
  <si>
    <t>https://youtu.be/iRpuGdmXXsU?si=q4dAFS09KCa5Av9-&amp;t=6421</t>
  </si>
  <si>
    <t>https://youtu.be/iRpuGdmXXsU?si=Q2NHx0bo343Gt1i3&amp;t=8861</t>
  </si>
  <si>
    <t>https://youtu.be/iRpuGdmXXsU?si=WT07-qB8KJrJs8-P</t>
  </si>
  <si>
    <t>https://youtu.be/iRpuGdmXXsU?si=bl9-N1BylM1NCrQz</t>
  </si>
  <si>
    <t>https://youtu.be/iRpuGdmXXsU?si=miZ7cLjPMTeL5EU3</t>
  </si>
  <si>
    <t>https://youtu.be/iRpuGdmXXsU?si=Jc5UZ4P647Utgyaa</t>
  </si>
  <si>
    <t>https://youtu.be/h6dU3Kew4kw?si=5KlE4djUMEaWManv&amp;t=3369</t>
  </si>
  <si>
    <t>https://youtu.be/h6dU3Kew4kw?si=eUoK4m9-92X_frIv</t>
  </si>
  <si>
    <t>https://youtu.be/h6dU3Kew4kw?si=p0lxl8NBiP8gTOJS&amp;t=6050</t>
  </si>
  <si>
    <t>https://youtu.be/h6dU3Kew4kw?si=OLn6cEsxthkHGF-b&amp;t=6867</t>
  </si>
  <si>
    <t>https://youtu.be/h6dU3Kew4kw?si=aBX1bxswOWi1fk9P&amp;t=7881</t>
  </si>
  <si>
    <t>https://youtu.be/h6dU3Kew4kw?si=LwpLWb__TiDEkgxm&amp;t=9461</t>
  </si>
  <si>
    <t>https://youtu.be/h6dU3Kew4kw?si=rEYiZaW0dKU1PSnj&amp;t=10945</t>
  </si>
  <si>
    <t>https://youtu.be/h6dU3Kew4kw?si=dJTHCG4iTxVdeitt&amp;t=12025</t>
  </si>
  <si>
    <t>https://youtu.be/4EMk8X6ZZAE?si=Rkofs0H2xVxvyqwh&amp;t=4556</t>
  </si>
  <si>
    <t>https://youtu.be/4EMk8X6ZZAE?si=dqLOXWpeGJNfQptx&amp;t=5600</t>
  </si>
  <si>
    <t>https://youtu.be/4EMk8X6ZZAE?si=N97bpjFHYqVgU4-n&amp;t=6145</t>
  </si>
  <si>
    <t>https://youtu.be/4EMk8X6ZZAE?si=HufSIRKMmvzEFwsm&amp;t=7487</t>
  </si>
  <si>
    <t>https://youtu.be/4EMk8X6ZZAE?si=zWNrAXL8jKT0huTR&amp;t=8426</t>
  </si>
  <si>
    <t>https://youtu.be/4EMk8X6ZZAE?si=Hvav11AnPNwNBXkM&amp;t=9495</t>
  </si>
  <si>
    <t>https://youtu.be/4EMk8X6ZZAE?si=fB5sNjPceGa4UMB4&amp;t=10181</t>
  </si>
  <si>
    <t>https://youtu.be/o3_Kq5E5ric?si=E9w9HxCeYCJrThTE&amp;t=3610</t>
  </si>
  <si>
    <t>https://youtu.be/o3_Kq5E5ric?si=MytJgwr5bi7UyCYl&amp;t=5372</t>
  </si>
  <si>
    <t>https://youtu.be/o3_Kq5E5ric?si=B9XHHgv5fYp8Ic52&amp;t=6019</t>
  </si>
  <si>
    <t>https://youtu.be/o3_Kq5E5ric?si=M8jtHFw5jsvgxhCB&amp;t=7246</t>
  </si>
  <si>
    <t>https://youtu.be/o3_Kq5E5ric?si=Bzk7ip7nCiMPP53H&amp;t=9643</t>
  </si>
  <si>
    <t>https://youtu.be/o3_Kq5E5ric?si=xhk2-ymxGgF7jIH1&amp;t=10298</t>
  </si>
  <si>
    <t>https://youtu.be/o3_Kq5E5ric?si=1qhiYjSzLcxVX_g6&amp;t=11756</t>
  </si>
  <si>
    <t>https://youtu.be/o3_Kq5E5ric?si=GVTE011GjX56C1td&amp;t=12428</t>
  </si>
  <si>
    <t>https://youtu.be/o3_Kq5E5ric?si=dbgf96-rLD9gW-Sn&amp;t=14090</t>
  </si>
  <si>
    <t>https://youtu.be/qZoD_Fp2D88?si=jouYK59q90BqAGyb&amp;t=4224</t>
  </si>
  <si>
    <t>https://youtu.be/qZoD_Fp2D88?si=hkMI13ABvWzxf8im&amp;t=6118</t>
  </si>
  <si>
    <t>https://youtu.be/qZoD_Fp2D88?si=WG7Ny7XZCm4BQ7Up&amp;t=7628</t>
  </si>
  <si>
    <t>https://youtu.be/qZoD_Fp2D88?si=1sN4GSyXzqy4McBn&amp;t=8679</t>
  </si>
  <si>
    <t>https://youtu.be/qZoD_Fp2D88?si=pJB7OVhxCVCaCDv9&amp;t=9484</t>
  </si>
  <si>
    <t>https://youtu.be/qZoD_Fp2D88?si=1Zu-bpyWl7Gv4-FH&amp;t=10530</t>
  </si>
  <si>
    <t>https://youtu.be/Ygv77j4NQ_Q?si=ICQ6ic0z2qG3Nc8I&amp;t=4254</t>
  </si>
  <si>
    <t>https://youtu.be/Ygv77j4NQ_Q?si=C50RJzz_R3S0e7LZ&amp;t=5006</t>
  </si>
  <si>
    <t>https://youtu.be/Ygv77j4NQ_Q?si=_0SbFXt_OcQQ8anA&amp;t=6279</t>
  </si>
  <si>
    <t>https://youtu.be/Ygv77j4NQ_Q?si=18I2_DAs-MAqlV09&amp;t=8552</t>
  </si>
  <si>
    <t>https://youtu.be/Ygv77j4NQ_Q?si=29pExLH2PkQ1aDqt&amp;t=10089</t>
  </si>
  <si>
    <t>https://youtu.be/Ygv77j4NQ_Q?si=mU_UCIbtPfRDBZLr&amp;t=11905</t>
  </si>
  <si>
    <t>https://youtu.be/Ygv77j4NQ_Q?si=-oI2ZP0WXtLdZVtA&amp;t=13149</t>
  </si>
  <si>
    <t>https://youtu.be/Ygv77j4NQ_Q?si=J5PRmZff0wqjG9fO&amp;t=14204</t>
  </si>
  <si>
    <t>https://youtu.be/Eeghw4532wY?si=5Rr_iHGLncqHsQGe&amp;t=3660</t>
  </si>
  <si>
    <t>https://youtu.be/Eeghw4532wY?si=ODmcp2yhuhsmZ6q1&amp;t=5208</t>
  </si>
  <si>
    <t>https://youtu.be/Eeghw4532wY?si=6pgVQoDZzayq_bJi&amp;t=6990</t>
  </si>
  <si>
    <t>https://youtu.be/Eeghw4532wY?si=oDZeSP201zWQsR8U&amp;t=8775</t>
  </si>
  <si>
    <t>https://youtu.be/Eeghw4532wY?si=pRCr63xbBYWspYhZ&amp;t=9630</t>
  </si>
  <si>
    <t>https://youtu.be/Eeghw4532wY?si=Yvm0NGSQU3JnAANe&amp;t=11173</t>
  </si>
  <si>
    <t>https://youtu.be/Eeghw4532wY?si=jPDX6yHlde48nNRg&amp;t=12911</t>
  </si>
  <si>
    <t>https://youtu.be/AuuewG7H7zE?si=6dX1F0Yb7WFB4KC1&amp;t=2327</t>
  </si>
  <si>
    <t>https://youtu.be/AuuewG7H7zE?si=mlH2CMADLyUebugL&amp;t=2832</t>
  </si>
  <si>
    <t>https://youtu.be/AuuewG7H7zE?si=fTmyOsuAHRuKWZyl&amp;t=3376</t>
  </si>
  <si>
    <t>https://youtu.be/AuuewG7H7zE?si=g24G6d2KA2bQ96Qb&amp;t=4042</t>
  </si>
  <si>
    <t>https://youtu.be/AuuewG7H7zE?si=FsIa2HMhWY69ZzZm&amp;t=6019</t>
  </si>
  <si>
    <t>https://youtu.be/AuuewG7H7zE?si=mVUpeLUa2MYErkFM&amp;t=6828</t>
  </si>
  <si>
    <t>https://youtu.be/AuuewG7H7zE?si=xhgLCfig7UGP-pXX&amp;t=7749</t>
  </si>
  <si>
    <t>https://youtu.be/AuuewG7H7zE?si=-YAPst2LOSLhAgVQ&amp;t=8668</t>
  </si>
  <si>
    <t>[1]</t>
  </si>
  <si>
    <t>[1]0</t>
  </si>
  <si>
    <t>[1][1]</t>
  </si>
  <si>
    <t>[A]</t>
  </si>
  <si>
    <t>https://youtu.be/fgJOMAk8DPI?si=EEKHJqX75mK3wQ4q&amp;t=3072</t>
  </si>
  <si>
    <t>https://youtu.be/fgJOMAk8DPI?si=wnnzwM2rohdPzBDX&amp;t=5727</t>
  </si>
  <si>
    <t>https://youtu.be/fgJOMAk8DPI?si=uncY3jL6C-4AUYd1&amp;t=6300</t>
  </si>
  <si>
    <t>https://youtu.be/fgJOMAk8DPI?si=u3SLv6pHIIXXLyXP&amp;t=8085</t>
  </si>
  <si>
    <t>https://youtu.be/fgJOMAk8DPI?si=sxZ8coKTaAiHSJcZ&amp;t=9820</t>
  </si>
  <si>
    <t>https://youtu.be/fgJOMAk8DPI?si=s70ZCwQHDvQvYDtU&amp;t=11383</t>
  </si>
  <si>
    <t>지동원</t>
    <phoneticPr fontId="2" type="noConversion"/>
  </si>
  <si>
    <t>이창우</t>
    <phoneticPr fontId="2" type="noConversion"/>
  </si>
  <si>
    <t>얍삽e</t>
    <phoneticPr fontId="2" type="noConversion"/>
  </si>
  <si>
    <t>진영화</t>
    <phoneticPr fontId="2" type="noConversion"/>
  </si>
  <si>
    <t>만두호성</t>
    <phoneticPr fontId="2" type="noConversion"/>
  </si>
  <si>
    <t>이영한</t>
    <phoneticPr fontId="2" type="noConversion"/>
  </si>
  <si>
    <t>https://youtu.be/VnGnAhPGx-Y?si=9JXKeYvUwx2pMtdi&amp;t=7195</t>
  </si>
  <si>
    <t>https://youtu.be/VnGnAhPGx-Y?si=InyXlwnFDrbjEl9v&amp;t=8240</t>
  </si>
  <si>
    <t>https://youtu.be/VnGnAhPGx-Y?si=ew3-SS-kxA4OIMzy&amp;t=9350</t>
  </si>
  <si>
    <t>https://youtu.be/VnGnAhPGx-Y?si=6LAvB65DipZwRtkz&amp;t=10168</t>
  </si>
  <si>
    <t>https://youtu.be/VnGnAhPGx-Y?si=mr8d05OAVNfEdt3z&amp;t=11102</t>
  </si>
  <si>
    <t>이경민</t>
    <phoneticPr fontId="2" type="noConversion"/>
  </si>
  <si>
    <t>https://youtu.be/VnGnAhPGx-Y?si=I9FQkFBZ0BZtT9-x&amp;t=12203</t>
  </si>
  <si>
    <t>https://youtu.be/VnGnAhPGx-Y?si=v0bRHr2axrMGnm_y&amp;t=13326</t>
  </si>
  <si>
    <t>https://youtu.be/VnGnAhPGx-Y?si=yy7QsbYGJR0PWlqa&amp;t=14751</t>
  </si>
  <si>
    <t>https://youtu.be/VnGnAhPGx-Y?si=ECyfnwjXI8vNpMGz&amp;t=15417</t>
  </si>
  <si>
    <t>박준오</t>
    <phoneticPr fontId="2" type="noConversion"/>
  </si>
  <si>
    <t>패</t>
    <phoneticPr fontId="2" type="noConversion"/>
  </si>
  <si>
    <t>승</t>
    <phoneticPr fontId="2" type="noConversion"/>
  </si>
  <si>
    <t>https://youtu.be/VnGnAhPGx-Y?si=mcTdTCNzeVzvIkUx&amp;t=16068</t>
  </si>
  <si>
    <t>https://youtu.be/VnGnAhPGx-Y?si=iy2z5_Z1Tk0ru-Qg&amp;t=17079</t>
  </si>
  <si>
    <t>https://youtu.be/VnGnAhPGx-Y?si=MeotuotVyFKZP70g&amp;t=18116</t>
  </si>
  <si>
    <t>https://youtu.be/VnGnAhPGx-Y?si=AMbQBVoAyt-ArlGw&amp;t=19879</t>
  </si>
  <si>
    <t>https://youtu.be/VnGnAhPGx-Y?si=cP92HXD5BkE_b_yG&amp;t=22122</t>
  </si>
  <si>
    <t>https://youtu.be/8bVexfC4hkw?si=ATFPdQvY9tU_9Ykh&amp;t=106</t>
  </si>
  <si>
    <t>https://youtu.be/8bVexfC4hkw?si=gX3YCNxX19E3MLR2&amp;t=1443</t>
  </si>
  <si>
    <t>https://youtu.be/8bVexfC4hkw?si=hfG8A0Z_BpxPE0EO&amp;t=2509</t>
  </si>
  <si>
    <t>https://youtu.be/8bVexfC4hkw?si=txD3JrNjwDu_7e1Y&amp;t=3782</t>
  </si>
  <si>
    <t>https://youtu.be/8bVexfC4hkw?si=SJJfPELpYx0guZDV&amp;t=4631</t>
  </si>
  <si>
    <t>https://youtu.be/8bVexfC4hkw?si=6YK4d6FYa0HHebKm&amp;t=6113</t>
  </si>
  <si>
    <t>https://youtu.be/8bVexfC4hkw?si=eYD7f_-E3KQc7wx8&amp;t=5557</t>
  </si>
  <si>
    <t>https://youtu.be/8bVexfC4hkw?si=ftLzabGtp4sGa0dq&amp;t=8367</t>
  </si>
  <si>
    <t>https://youtu.be/fKCWvaflNZE?si=WZYc7TTk8PIH6hfR&amp;t=2743</t>
  </si>
  <si>
    <t>https://youtu.be/fKCWvaflNZE?si=gB2Bmv5CMhtYInn1&amp;t=4379</t>
  </si>
  <si>
    <t>https://youtu.be/fKCWvaflNZE?si=-1JJJgSAist9JLaE&amp;t=5543</t>
  </si>
  <si>
    <t>https://youtu.be/fKCWvaflNZE?si=Z7KV1wd1f_Lc8_L5&amp;t=7445</t>
  </si>
  <si>
    <t>https://youtu.be/fKCWvaflNZE?si=AvgUnkSPZ139mBtb&amp;t=7985</t>
  </si>
  <si>
    <t>https://youtu.be/fKCWvaflNZE?si=ShVoDsk-eUZlRRCn&amp;t=9689</t>
  </si>
  <si>
    <t>https://youtu.be/fKCWvaflNZE?si=wNZh4rEOrJZMY2-1&amp;t=11279</t>
  </si>
  <si>
    <t>https://youtu.be/FvjbLT4UdkM?si=6Y_Hg6OmIvSTJZjr&amp;t=3714</t>
  </si>
  <si>
    <t>https://youtu.be/FvjbLT4UdkM?si=74hkr2KHMOZ2nr2N&amp;t=4410</t>
  </si>
  <si>
    <t>https://youtu.be/FvjbLT4UdkM?si=WBCINZ1NDlCxRPlj&amp;t=5748</t>
  </si>
  <si>
    <t>https://youtu.be/FvjbLT4UdkM?si=8M_h0OXOb7dNkWpw&amp;t=7530</t>
  </si>
  <si>
    <t>https://youtu.be/FvjbLT4UdkM?si=VbVqOTWxJ8ZO-obF&amp;t=8214</t>
  </si>
  <si>
    <t>https://youtu.be/FvjbLT4UdkM?si=aYFSynCSMeYWSenz&amp;t=9618</t>
  </si>
  <si>
    <t>https://youtu.be/FvjbLT4UdkM?si=5g43QELfqNmOxkH1&amp;t=11652</t>
  </si>
  <si>
    <t>https://youtu.be/IIbn-z8OAww?si=rYYwheU0z9SxqGYO&amp;t=3450</t>
  </si>
  <si>
    <t>https://youtu.be/IIbn-z8OAww?si=xWP-UMrjbQsIzVc5&amp;t=4565</t>
  </si>
  <si>
    <t>https://youtu.be/IIbn-z8OAww?si=NTOsgaXkfe23XxIm&amp;t=5028</t>
  </si>
  <si>
    <t>https://youtu.be/IIbn-z8OAww?si=zYr58baHbVCsaugQ&amp;t=6186</t>
  </si>
  <si>
    <t>https://youtu.be/IIbn-z8OAww?si=V9Bf-fD9r90iyX_2&amp;t=7662</t>
  </si>
  <si>
    <t>https://youtu.be/IIbn-z8OAww?si=vs5kCW5Bsl4_Mo6-&amp;t=8013</t>
  </si>
  <si>
    <t>https://youtu.be/IIbn-z8OAww?si=FqljTezK6ez9YJ0h&amp;t=9150</t>
  </si>
  <si>
    <t>https://youtu.be/j-PiwNGCffg?si=WcDMr3BOQDeGNJZB&amp;t=3203</t>
  </si>
  <si>
    <t>https://youtu.be/j-PiwNGCffg?si=Qs-mX-Mo7OXSF8sl&amp;t=4894</t>
  </si>
  <si>
    <t>https://youtu.be/j-PiwNGCffg?si=6LY61Yg6lXKRbkY0&amp;t=5741</t>
  </si>
  <si>
    <t>https://youtu.be/j-PiwNGCffg?si=Y2BRcyZu15f-c5kE&amp;t=6462</t>
  </si>
  <si>
    <t>https://youtu.be/j-PiwNGCffg?si=GFPKmpMEpdP9hPR3&amp;t=7222</t>
  </si>
  <si>
    <t>https://youtu.be/j-PiwNGCffg?si=zr2GFLgVvySYJULL&amp;t=8030</t>
  </si>
  <si>
    <t>https://youtu.be/RGfvlN9kqkU?si=KLYe9gvOaZuxgcsl&amp;t=851</t>
  </si>
  <si>
    <t>https://youtu.be/RGfvlN9kqkU?si=iAlRuHAW4pyVDbYr&amp;t=1709</t>
  </si>
  <si>
    <t>https://youtu.be/RGfvlN9kqkU?si=Atp1zLr7WuoU5TpG&amp;t=2577</t>
  </si>
  <si>
    <t>https://youtu.be/RGfvlN9kqkU?si=Q2wtze1YUcZJAD9R&amp;t=3179</t>
  </si>
  <si>
    <t>https://youtu.be/RGfvlN9kqkU?si=ECktRKWyT-VN7cQR&amp;t=3622</t>
  </si>
  <si>
    <t>https://youtu.be/RGfvlN9kqkU?si=rTxq6ntPlZ-OEyuZ&amp;t=4383</t>
  </si>
  <si>
    <t>https://youtu.be/RGfvlN9kqkU?si=PCmXI3bQ2mA0thUc&amp;t=5546</t>
  </si>
  <si>
    <t>https://youtu.be/N2LDRs5nxpA?si=5kJj_rfE81D__Mib&amp;t=944</t>
  </si>
  <si>
    <t>https://youtu.be/N2LDRs5nxpA?si=gOhOXz9wvO3lo4uz&amp;t=2815</t>
  </si>
  <si>
    <t>https://youtu.be/N2LDRs5nxpA?si=BVssGPIUp_qz7SxW&amp;t=4752</t>
  </si>
  <si>
    <t>https://youtu.be/N2LDRs5nxpA?si=JkdZgoUj1yUF28LM&amp;t=5694</t>
  </si>
  <si>
    <t>https://youtu.be/N2LDRs5nxpA?si=oTpLthXb53FxSaLj&amp;t=6300</t>
  </si>
  <si>
    <t>https://youtu.be/SSgZW7NfpgU?si=M9AjpWtttv1Nwv5N&amp;t=1494</t>
  </si>
  <si>
    <t>https://youtu.be/SSgZW7NfpgU?si=uioLSVQITrwZKoQr&amp;t=2531</t>
  </si>
  <si>
    <t>https://youtu.be/SSgZW7NfpgU?si=l9oIhyZX_mF06G9l&amp;t=3138</t>
  </si>
  <si>
    <t>https://youtu.be/SSgZW7NfpgU?si=7lWES07hKfIul9Uc&amp;t=4655</t>
  </si>
  <si>
    <t>https://youtu.be/SSgZW7NfpgU?si=rvhHX8FopIaz-AAd&amp;t=5507</t>
  </si>
  <si>
    <t>https://youtu.be/SSgZW7NfpgU?si=9angy5pl9_3Scf-u&amp;t=6737</t>
  </si>
  <si>
    <t>https://youtu.be/4D2q7BVg4Vg?si=Wf72gOd9efP9TsXY&amp;t=3144</t>
  </si>
  <si>
    <t>https://youtu.be/4D2q7BVg4Vg?si=vWXSnA4o0_iqlU59&amp;t=4971</t>
  </si>
  <si>
    <t>https://youtu.be/4D2q7BVg4Vg?si=X1BbJC5mTMV6UDol&amp;t=6069</t>
  </si>
  <si>
    <t>https://youtu.be/4D2q7BVg4Vg?si=mXpmBS7L6q6Wa7iK&amp;t=8063</t>
  </si>
  <si>
    <t>https://youtu.be/4D2q7BVg4Vg?si=nbmGKNPURRKEqaJw&amp;t=9426</t>
  </si>
  <si>
    <t>https://youtu.be/4D2q7BVg4Vg?si=cMx4xN6PeGUKTxWu&amp;t=11351</t>
  </si>
  <si>
    <t>https://youtu.be/4D2q7BVg4Vg?si=OkVaDUGyY_DGBLul&amp;t=13364</t>
  </si>
  <si>
    <t>https://youtu.be/4D2q7BVg4Vg?si=rTHxLsC5PvAgMzfL&amp;t=15616</t>
  </si>
  <si>
    <t>https://youtu.be/lt0qWIKe7H8?si=gtyndmS-fAv7-UUB&amp;t=2294</t>
  </si>
  <si>
    <t>https://youtu.be/lt0qWIKe7H8?si=8L2mMWu-pMNLBTuD&amp;t=2971</t>
  </si>
  <si>
    <t>https://youtu.be/lt0qWIKe7H8?si=8PiMap1JTZhzjx2S&amp;t=4064</t>
  </si>
  <si>
    <t>https://youtu.be/lt0qWIKe7H8?si=IN29xcVQe89NPL5j&amp;t=4997</t>
  </si>
  <si>
    <t>https://youtu.be/lt0qWIKe7H8?si=lx_DAwS_AWczho4i&amp;t=6444</t>
  </si>
  <si>
    <t>https://youtu.be/lt0qWIKe7H8?si=JDgCYEPDCzePfxMQ&amp;t=8001</t>
  </si>
  <si>
    <t>https://youtu.be/lt0qWIKe7H8?si=DLLZF6IhJYHC58bg&amp;t=9234</t>
  </si>
  <si>
    <t>https://youtu.be/lt0qWIKe7H8?si=attUBwpZ2WbxLo93&amp;t=10480</t>
  </si>
  <si>
    <t>2026.02.03</t>
    <phoneticPr fontId="2" type="noConversion"/>
  </si>
  <si>
    <t>https://youtu.be/HLgkO6xsN_k?si=l5j5ogCd8VFBSPmx&amp;t=9265</t>
  </si>
  <si>
    <t>https://youtu.be/HLgkO6xsN_k?si=IoERU4HjazT_Nk0c&amp;t=10417</t>
  </si>
  <si>
    <t>https://youtu.be/HLgkO6xsN_k?si=-0NHUpq94PpFLFDU&amp;t=10965</t>
  </si>
  <si>
    <t>https://youtu.be/HLgkO6xsN_k?si=wCiRWFV6J76GKUMI&amp;t=12493</t>
  </si>
  <si>
    <t>https://youtu.be/HLgkO6xsN_k?si=JxMotEdkLNdZgetf&amp;t=13785</t>
  </si>
  <si>
    <t>https://youtu.be/HLgkO6xsN_k?si=zN7G7b6IW4zQtfEt&amp;t=14126</t>
  </si>
  <si>
    <t>https://youtu.be/HLgkO6xsN_k?si=OKcfUY1TOH3mjiUD&amp;t=14845</t>
  </si>
  <si>
    <t>https://youtu.be/HLgkO6xsN_k?si=XZGdhz1IvgSNiUE3&amp;t=15660</t>
  </si>
  <si>
    <t>https://youtu.be/HLgkO6xsN_k?si=rnt_qQw4GsdiG5xV&amp;t=16764</t>
  </si>
  <si>
    <t>https://youtu.be/HLgkO6xsN_k?si=2TivwWwP9fTQbj2c&amp;t=18323</t>
  </si>
  <si>
    <t>https://youtu.be/HLgkO6xsN_k?si=eAOpnCntWiHuWRhW&amp;t=19493</t>
  </si>
  <si>
    <t>2026.05.28</t>
    <phoneticPr fontId="2" type="noConversion"/>
  </si>
  <si>
    <t>찌킹</t>
    <phoneticPr fontId="2" type="noConversion"/>
  </si>
  <si>
    <t>먼진</t>
    <phoneticPr fontId="2" type="noConversion"/>
  </si>
  <si>
    <t>몽순</t>
    <phoneticPr fontId="2" type="noConversion"/>
  </si>
  <si>
    <t>햇참새</t>
    <phoneticPr fontId="2" type="noConversion"/>
  </si>
  <si>
    <t>https://youtu.be/QdPAqVX2rY0?si=xSEqbnPmN21jmVAB&amp;t=3172</t>
  </si>
  <si>
    <t>https://youtu.be/QdPAqVX2rY0?si=xe5NadPIL5QX2eIm&amp;t=4064</t>
  </si>
  <si>
    <t>https://youtu.be/QdPAqVX2rY0?si=hMqnAi5eV-FEv0Oh&amp;t=6092</t>
  </si>
  <si>
    <t>https://youtu.be/QdPAqVX2rY0?si=ZkB4YW8v5Wq9zF9B&amp;t=7136</t>
  </si>
  <si>
    <t>https://youtu.be/QdPAqVX2rY0?si=jwisB3Eim9a3PdJb&amp;t=8486</t>
  </si>
  <si>
    <t>https://youtu.be/yMwcFJLejOk?si=2RqolObnWmbLocYx&amp;t=1974</t>
  </si>
  <si>
    <t>https://youtu.be/yMwcFJLejOk?si=VYWjNJFHrdgM3Q_g&amp;t=2646</t>
  </si>
  <si>
    <t>https://youtu.be/yMwcFJLejOk?si=4ZZqaXVV2Z3HqvGv&amp;t=5261</t>
  </si>
  <si>
    <t>https://youtu.be/yMwcFJLejOk?si=OMF09IR1t4DMDpKs&amp;t=6851</t>
  </si>
  <si>
    <t>https://youtu.be/yMwcFJLejOk?si=rA9bfPV7ckBHzvYp&amp;t=7631</t>
  </si>
  <si>
    <t>https://youtu.be/yMwcFJLejOk?si=galhlLMljY0lHYSs&amp;t=9011</t>
  </si>
  <si>
    <t>https://youtu.be/yMwcFJLejOk?si=EYTlxNP-DOWsb_hn&amp;t=10579</t>
  </si>
  <si>
    <t>https://youtu.be/yMwcFJLejOk?si=nInsxUYC0YfH0VYP&amp;t=13866</t>
  </si>
  <si>
    <t>https://youtu.be/yMwcFJLejOk?si=LR_rGrkuXhRjyewF&amp;t=12852</t>
  </si>
  <si>
    <t>https://youtu.be/gh6bLqtipNQ?si=AHXUmkaabGjLNiwg&amp;t=3510</t>
  </si>
  <si>
    <t>https://youtu.be/gh6bLqtipNQ?si=N1TP_6FfdqAtZLKS&amp;t=5776</t>
  </si>
  <si>
    <t>https://youtu.be/gh6bLqtipNQ?si=uTCA5eFd74xPUb-b&amp;t=6297</t>
  </si>
  <si>
    <t>https://youtu.be/gh6bLqtipNQ?si=FnBq1G5-WsGkFyy8&amp;t=7567</t>
  </si>
  <si>
    <t>https://youtu.be/gh6bLqtipNQ?si=MiiAEwkwysrApqVN&amp;t=8919</t>
  </si>
  <si>
    <t>https://youtu.be/gh6bLqtipNQ?si=J8lWNPPVR3LD720E&amp;t=10806</t>
  </si>
  <si>
    <t>https://youtu.be/gh6bLqtipNQ?si=7IimtKPqjw3zhbml&amp;t=12161</t>
  </si>
  <si>
    <t>https://youtu.be/ZDrWd0Kz3uc?si=_kLcCfFkkGTAAV5j&amp;t=612</t>
  </si>
  <si>
    <t>https://youtu.be/ZDrWd0Kz3uc?si=UW8jPsVoPqKxhBEs&amp;t=1303</t>
  </si>
  <si>
    <t>https://youtu.be/ZDrWd0Kz3uc?si=ERCu_F4Thwb3Rf7-&amp;t=2715</t>
  </si>
  <si>
    <t>https://youtu.be/ZDrWd0Kz3uc?si=OgFhHkPghTwujiTa&amp;t=2356</t>
  </si>
  <si>
    <t>https://youtu.be/ZDrWd0Kz3uc?si=5ZV7bL0K5iKqfZjl&amp;t=3786</t>
  </si>
  <si>
    <t>https://youtu.be/ZDrWd0Kz3uc?si=9CMoMMctttWjMNe7&amp;t=4437</t>
  </si>
  <si>
    <t>https://youtu.be/ZDrWd0Kz3uc?si=cnUbWvgJsdKu2QbD&amp;t=6107</t>
  </si>
  <si>
    <t>https://youtu.be/ZDrWd0Kz3uc?si=iOl9LaFqN0KipKFT&amp;t=7846</t>
  </si>
  <si>
    <t>https://youtu.be/ZDrWd0Kz3uc?si=7LkGpgN1GFMEOj5a&amp;t=8983</t>
  </si>
  <si>
    <t>2025.12.10</t>
    <phoneticPr fontId="2" type="noConversion"/>
  </si>
  <si>
    <t>소주양</t>
    <phoneticPr fontId="2" type="noConversion"/>
  </si>
  <si>
    <t>나린</t>
    <phoneticPr fontId="2" type="noConversion"/>
  </si>
  <si>
    <t>https://youtu.be/4tNPwfUngs0?si=LE0LpqH3wIbH4qFS&amp;t=2711</t>
  </si>
  <si>
    <t>https://youtu.be/4tNPwfUngs0?si=Qbve2h2lct5x-5Ee&amp;t=3900</t>
  </si>
  <si>
    <t>https://youtu.be/4tNPwfUngs0?si=Q5uoyvc8V7X1gOhK&amp;t=5402</t>
  </si>
  <si>
    <t>https://youtu.be/4tNPwfUngs0?si=ArL6UZaf64kIHBLV&amp;t=7357</t>
  </si>
  <si>
    <t>https://youtu.be/4tNPwfUngs0?si=Uy1hNQLD5YHS6n49&amp;t=9192</t>
  </si>
  <si>
    <t>https://youtu.be/4tNPwfUngs0?si=2nvj_W1WUp_Xlb3m&amp;t=9672</t>
  </si>
  <si>
    <t>https://youtu.be/4tNPwfUngs0?si=IZuFsTxZjgBE41SG&amp;t=10908</t>
  </si>
  <si>
    <t>https://youtu.be/D1MW4zeQokI?si=ESa9hF1_tEzWpOSe&amp;t=3995</t>
  </si>
  <si>
    <t>https://youtu.be/D1MW4zeQokI?si=VcD47xFy9kzJ69ei&amp;t=4565</t>
  </si>
  <si>
    <t>https://youtu.be/D1MW4zeQokI?si=Fn2RNhMO4xgQek_P&amp;t=5507</t>
  </si>
  <si>
    <t>https://youtu.be/D1MW4zeQokI?si=lz8w_L_Rk_Z6K-4I&amp;t=6344</t>
  </si>
  <si>
    <t>https://youtu.be/D1MW4zeQokI?si=zGWyiMiBAb8_Ainm&amp;t=8046</t>
  </si>
  <si>
    <t>https://youtu.be/D1MW4zeQokI?si=1Ao7Gjr25ANHdn5Q&amp;t=10139</t>
  </si>
  <si>
    <t>https://youtu.be/D1MW4zeQokI?si=19pUDCrHsm2AHger&amp;t=10832</t>
  </si>
  <si>
    <t>https://youtu.be/JBv49wbp51g?si=_iEIvfGatq-gmW0L&amp;t=3098</t>
  </si>
  <si>
    <t>https://youtu.be/JBv49wbp51g?si=Z6PLymnq4aZy0YuA&amp;t=4406</t>
  </si>
  <si>
    <t>https://youtu.be/JBv49wbp51g?si=Zv5Z7tKnPSRy5Mpa&amp;t=5106</t>
  </si>
  <si>
    <t>https://youtu.be/JBv49wbp51g?si=cIM6wgIfwM7b7pn3&amp;t=6164</t>
  </si>
  <si>
    <t>https://youtu.be/JBv49wbp51g?si=Wf_gtvS0bfOO1SJ5&amp;t=7621</t>
  </si>
  <si>
    <t>https://youtu.be/JBv49wbp51g?si=WRx_gImkMZzFOmZf&amp;t=8593</t>
  </si>
  <si>
    <t>https://youtu.be/JBv49wbp51g?si=4Vo4B8wNn2QvAFIk&amp;t=9848</t>
  </si>
  <si>
    <t>https://youtu.be/JBv49wbp51g?si=4Vl1xJ6GgW3EvQBk&amp;t=11575</t>
  </si>
  <si>
    <t>https://youtu.be/yeKzQFY09XQ?si=FADcy1EkT4Xu4NSt&amp;t=1712</t>
  </si>
  <si>
    <t>https://youtu.be/yeKzQFY09XQ?si=rl_Sm0G4Xe2ije4O&amp;t=2588</t>
  </si>
  <si>
    <t>https://youtu.be/yeKzQFY09XQ?si=X4SAYFlgMFi5pySe&amp;t=3932</t>
  </si>
  <si>
    <t>https://youtu.be/yeKzQFY09XQ?si=7CCuBV5bY4z12qgi&amp;t=4729</t>
  </si>
  <si>
    <t>https://youtu.be/yeKzQFY09XQ?si=ZbCGNKNgJOg4sQMP&amp;t=6242</t>
  </si>
  <si>
    <t>https://youtu.be/yeKzQFY09XQ?si=AQD7he-RyQl0RJHk&amp;t=7318</t>
  </si>
  <si>
    <t>https://youtu.be/yeKzQFY09XQ?si=MnnIYUuOrqeq44JH&amp;t=8434</t>
  </si>
  <si>
    <t>https://youtu.be/yeKzQFY09XQ?si=GMgKgYMsqSl9oj9H&amp;t=9565</t>
  </si>
  <si>
    <t>https://youtu.be/fXu5AAgwCaY?si=Rw77OCafH1TpxfOA&amp;t=1904</t>
  </si>
  <si>
    <t>https://youtu.be/fXu5AAgwCaY?si=Axlw3jjCe6OmTria&amp;t=2979</t>
  </si>
  <si>
    <t>https://youtu.be/fXu5AAgwCaY?si=3BDcRtCGnSQs82dt&amp;t=4860</t>
  </si>
  <si>
    <t>https://youtu.be/fXu5AAgwCaY?si=jevGkRqdXFOUF0Eb&amp;t=6064</t>
  </si>
  <si>
    <t>https://youtu.be/fXu5AAgwCaY?si=7osFCFotX-J_vGO1&amp;t=7333</t>
  </si>
  <si>
    <t>https://youtu.be/fXu5AAgwCaY?si=khX9iDxdRgtSyVcZ&amp;t=8095</t>
  </si>
  <si>
    <t>https://youtu.be/fXu5AAgwCaY?si=DS16pa3DbXg6Xgal&amp;t=9245</t>
  </si>
  <si>
    <t>https://youtu.be/fXu5AAgwCaY?si=lKYF8KTijO7Ct-KI&amp;t=10980</t>
  </si>
  <si>
    <t>https://youtu.be/fXu5AAgwCaY?si=0Ik6TqyL3BuncNtP&amp;t=12088</t>
  </si>
  <si>
    <t>https://youtu.be/1-3Bk54pikQ?si=XBjUJ889H2j4hphV&amp;t=794</t>
  </si>
  <si>
    <t>https://youtu.be/1-3Bk54pikQ?si=2yQa-Ea4tR1MnA_B&amp;t=1681</t>
  </si>
  <si>
    <t>https://youtu.be/1-3Bk54pikQ?si=VqACPi5Oh_t512it&amp;t=2658</t>
  </si>
  <si>
    <t>https://youtu.be/1-3Bk54pikQ?si=Abewp5EtrJyKpmol&amp;t=3970</t>
  </si>
  <si>
    <t>https://youtu.be/c-YAWL6uS-o?si=9D3zCXtux-oE3qUh&amp;t=1612</t>
  </si>
  <si>
    <t>https://youtu.be/c-YAWL6uS-o?si=GDbxpHtHA8YvtSh_&amp;t=2271</t>
  </si>
  <si>
    <t>https://youtu.be/c-YAWL6uS-o?si=d2XusFLXR01lm6AU&amp;t=4531</t>
  </si>
  <si>
    <t>https://youtu.be/c-YAWL6uS-o?si=K-dhClLVK8xy95hV&amp;t=4975</t>
  </si>
  <si>
    <t>https://youtu.be/c-YAWL6uS-o?si=13YSY_SZZyN_nYKD&amp;t=6369</t>
  </si>
  <si>
    <t>https://youtu.be/c-YAWL6uS-o?si=-CZnPnldPwgA6rmC&amp;t=7152</t>
  </si>
  <si>
    <t>https://youtu.be/c-YAWL6uS-o?si=GuaazCMLfZmITEL3&amp;t=7702</t>
  </si>
  <si>
    <t>https://youtu.be/c-YAWL6uS-o?si=1uZqbJLO29VplDKp&amp;t=8826</t>
  </si>
  <si>
    <t>https://youtu.be/c-YAWL6uS-o?si=hiZtZB-irLWoFbWc&amp;t=9958</t>
  </si>
  <si>
    <t>https://youtu.be/c-YAWL6uS-o?si=NbdnTRMgptiK6nnT&amp;t=12497</t>
  </si>
  <si>
    <t>https://youtu.be/LN6DC34NXus?si=YPQyXl0IRskbRH7j&amp;t=1905</t>
  </si>
  <si>
    <t>https://youtu.be/LN6DC34NXus?si=MXzJwLNwgmd7y6Zu&amp;t=2718</t>
  </si>
  <si>
    <t>https://youtu.be/LN6DC34NXus?si=Nydcd9o-cu9ZznHr&amp;t=3918</t>
  </si>
  <si>
    <t>https://youtu.be/LN6DC34NXus?si=6QIrTQ3YdAKaGLvj&amp;t=5412</t>
  </si>
  <si>
    <t>https://youtu.be/LN6DC34NXus?si=RXS1J02U3dxw7gPI&amp;t=6513</t>
  </si>
  <si>
    <t>https://youtu.be/LN6DC34NXus?si=lu8NnwIU9izqUFWy&amp;t=8050</t>
  </si>
  <si>
    <t>https://youtu.be/LN6DC34NXus?si=YSWR9K-XS7bdwvAy&amp;t=8868</t>
  </si>
  <si>
    <t>https://youtu.be/LN6DC34NXus?si=SDU_nVsEnm-VNll9&amp;t=12341</t>
  </si>
  <si>
    <t>https://youtu.be/LN6DC34NXus?si=gjsyyBHewhsWsJr9&amp;t=13605</t>
  </si>
  <si>
    <t>https://youtu.be/0oxbELTwDtM?si=vPda5NdpFj8HvPwE&amp;t=2075</t>
  </si>
  <si>
    <t>https://youtu.be/0oxbELTwDtM?si=gswTQRlNUKRnY6ic&amp;t=2522</t>
  </si>
  <si>
    <t>https://youtu.be/0oxbELTwDtM?si=LjGznmiXiOQqkJGJ&amp;t=1135</t>
  </si>
  <si>
    <t>https://youtu.be/0oxbELTwDtM?si=Fl9W4ExjA-Hr4C4c&amp;t=3751</t>
  </si>
  <si>
    <t>https://youtu.be/0oxbELTwDtM?si=f1RMwUL6URW6YsS7&amp;t=4996</t>
  </si>
  <si>
    <t>https://youtu.be/fFneKkMXcKc?si=Eac8cai0YAOeC2vW&amp;t=4147</t>
  </si>
  <si>
    <t>https://youtu.be/fFneKkMXcKc?si=-rDXIR2yHOvjYmSf&amp;t=5624</t>
  </si>
  <si>
    <t>https://youtu.be/fFneKkMXcKc?si=1Azby7s-6OOLq3jO&amp;t=6838</t>
  </si>
  <si>
    <t>https://youtu.be/fFneKkMXcKc?si=FYcNOrtdlLgUawQs&amp;t=8484</t>
  </si>
  <si>
    <t>https://youtu.be/fFneKkMXcKc?si=VMT9ONEecoQZk-Ft&amp;t=9850</t>
  </si>
  <si>
    <t>https://youtu.be/fFneKkMXcKc?si=gjpGSdj8mlhwHYpr&amp;t=11343</t>
  </si>
  <si>
    <t>https://youtu.be/fFneKkMXcKc?si=GhyEcrQe5qqDxDTP&amp;t=11916</t>
  </si>
  <si>
    <t>https://youtu.be/0exLOkG6rUE?si=EqrWzs8uTtss_6aB&amp;t=3269</t>
  </si>
  <si>
    <t>https://youtu.be/0exLOkG6rUE?si=FZF3aEhqwlWhLNG4&amp;t=3882</t>
  </si>
  <si>
    <t>https://youtu.be/0exLOkG6rUE?si=Ckj6xwbzE8me0_iX&amp;t=5074</t>
  </si>
  <si>
    <t>https://youtu.be/0exLOkG6rUE?si=roZjcCSXRy7jtVOj&amp;t=6043</t>
  </si>
  <si>
    <t>https://youtu.be/0exLOkG6rUE?si=pXJLE7YbAJA4Uo-W&amp;t=6770</t>
  </si>
  <si>
    <t>https://youtu.be/0exLOkG6rUE?si=VhtSltaO13ZfRNuP&amp;t=7496</t>
  </si>
  <si>
    <t>https://youtu.be/0exLOkG6rUE?si=3mdnKICkVcnrYwZs&amp;t=8935</t>
  </si>
  <si>
    <t>https://youtu.be/0exLOkG6rUE?si=KRo3ZaXQwHIVP05U&amp;t=10615</t>
  </si>
  <si>
    <t>https://youtu.be/0exLOkG6rUE?si=yPomuy5cOfd8crMf&amp;t=11352</t>
  </si>
  <si>
    <t>2026.05.29</t>
    <phoneticPr fontId="2" type="noConversion"/>
  </si>
  <si>
    <t>비타밍</t>
    <phoneticPr fontId="2" type="noConversion"/>
  </si>
  <si>
    <t>밍가</t>
    <phoneticPr fontId="2" type="noConversion"/>
  </si>
  <si>
    <t>https://youtu.be/0wqO9NY6GCw?si=LWEBipgYjLnyY4Yi&amp;t=4991</t>
  </si>
  <si>
    <t>https://youtu.be/0wqO9NY6GCw?si=GBpKJKhQnHSvuZI6&amp;t=5956</t>
  </si>
  <si>
    <t>https://youtu.be/0wqO9NY6GCw?si=UTMRfF80iRg8IyWI&amp;t=7558</t>
  </si>
  <si>
    <t>https://youtu.be/0wqO9NY6GCw?si=xiziDMmRt1ATZ2Vf&amp;t=6395</t>
  </si>
  <si>
    <t>https://youtu.be/0wqO9NY6GCw?si=7hmIBZOAtP8b7YP-&amp;t=9027</t>
  </si>
  <si>
    <t>https://youtu.be/0wqO9NY6GCw?si=S4CdFNO5DLeffov7&amp;t=9553</t>
  </si>
  <si>
    <t>https://youtu.be/0wqO9NY6GCw?si=loYVO2ZCx4AmcyRk&amp;t=10747</t>
  </si>
  <si>
    <t>https://youtu.be/0wqO9NY6GCw?si=eXrmBBr9vBMZaJ2a&amp;t=11886</t>
  </si>
  <si>
    <t>https://youtu.be/0wqO9NY6GCw?si=YEii9M1BOXwpSckv&amp;t=12594</t>
  </si>
  <si>
    <t>https://youtu.be/0Fup5jppQ3s?si=GOw-OpCc301oug9B&amp;t=336</t>
  </si>
  <si>
    <t>https://youtu.be/0Fup5jppQ3s?si=OKLaNrwWQDcThIUh&amp;t=1544</t>
  </si>
  <si>
    <t>https://youtu.be/0Fup5jppQ3s?si=4bxI6CgmMEmZLVKa&amp;t=3162</t>
  </si>
  <si>
    <t>https://youtu.be/0Fup5jppQ3s?si=FQe39A3TPKmkZCZP&amp;t=4470</t>
  </si>
  <si>
    <t>https://youtu.be/0Fup5jppQ3s?si=2ZWIiCdMO6WuOkMG&amp;t=5803</t>
  </si>
  <si>
    <t>https://youtu.be/0Fup5jppQ3s?si=wsDfIYlpuZtH3W87&amp;t=6756</t>
  </si>
  <si>
    <t>https://youtu.be/pXFm4QNz09c?si=5ylHBXc9alXxjCFp&amp;t=2474</t>
  </si>
  <si>
    <t>https://youtu.be/pXFm4QNz09c?si=xW_Vi_jrl1VPDZ9X&amp;t=3404</t>
  </si>
  <si>
    <t>https://youtu.be/pXFm4QNz09c?si=VaTtHHhyt0NHl5Zf&amp;t=4500</t>
  </si>
  <si>
    <t>https://youtu.be/pXFm4QNz09c?si=6IRHWoTBerzCytbT&amp;t=5547</t>
  </si>
  <si>
    <t>https://youtu.be/pXFm4QNz09c?si=JN0BVdEPwMyokKgy&amp;t=6723</t>
  </si>
  <si>
    <t>https://youtu.be/pXFm4QNz09c?si=1NJh7EUkbgoQb3r8&amp;t=8250</t>
  </si>
  <si>
    <t>https://youtu.be/pXFm4QNz09c?si=bC2ANllxtOG7iKYn&amp;t=9746</t>
  </si>
  <si>
    <t>https://youtu.be/pXFm4QNz09c?si=tDaX9ePmLMuC0SBf&amp;t=11065</t>
  </si>
  <si>
    <t>https://youtu.be/M4-e0Ajpcvw?si=-alay8AU8c2MhrmT&amp;t=1552</t>
  </si>
  <si>
    <t>https://youtu.be/M4-e0Ajpcvw?si=3U-aQT05K9AfK7rD&amp;t=2246</t>
  </si>
  <si>
    <t>https://youtu.be/M4-e0Ajpcvw?si=8pvM8SGdjHrzTXOC&amp;t=4050</t>
  </si>
  <si>
    <t>https://youtu.be/M4-e0Ajpcvw?si=Ns63bbsEVJM5oFpP&amp;t=4650</t>
  </si>
  <si>
    <t>https://youtu.be/M4-e0Ajpcvw?si=SnOxqzyxoa8DDjZD&amp;t=6574</t>
  </si>
  <si>
    <t>https://youtu.be/M4-e0Ajpcvw?si=BihULXtiFPT2LmKh&amp;t=6888</t>
  </si>
  <si>
    <t>https://youtu.be/M4-e0Ajpcvw?si=9-eKozCjZEtAuqfX&amp;t=8103</t>
  </si>
  <si>
    <t>https://youtu.be/M4-e0Ajpcvw?si=wI4Q-_rDCRg5sjCn&amp;t=9701</t>
  </si>
  <si>
    <t>https://youtu.be/18m1FNdl9uU?si=vN6Rp4kiMTSOyBI8&amp;t=3701</t>
  </si>
  <si>
    <t>https://youtu.be/18m1FNdl9uU?si=iFe8on5BK3MZDVU6&amp;t=4731</t>
  </si>
  <si>
    <t>https://youtu.be/18m1FNdl9uU?si=3x6k3-Oz5Oy-4l8G&amp;t=6463</t>
  </si>
  <si>
    <t>https://youtu.be/18m1FNdl9uU?si=OAqxEOI0NEmUwtvH&amp;t=7397</t>
  </si>
  <si>
    <t>https://youtu.be/18m1FNdl9uU?si=sfWMxSf57CM6VMZ-&amp;t=8679</t>
  </si>
  <si>
    <t>https://youtu.be/8Q6JbuP9wbI?si=e7BuKagF-lX4otfv&amp;t=1781</t>
  </si>
  <si>
    <t>https://youtu.be/8Q6JbuP9wbI?si=vxUHO3d410Y3NZca&amp;t=3238</t>
  </si>
  <si>
    <t>https://youtu.be/8Q6JbuP9wbI?si=mgiKT8CxvGz3z-fV&amp;t=4628</t>
  </si>
  <si>
    <t>https://youtu.be/8Q6JbuP9wbI?si=5WVy6ps5fOAuBsFk&amp;t=6541</t>
  </si>
  <si>
    <t>https://youtu.be/8Q6JbuP9wbI?si=_fGZoRtmY9XCj0VI&amp;t=8459</t>
  </si>
  <si>
    <t>https://youtu.be/8Q6JbuP9wbI?si=-qxCRQ01ZwFVvgIN&amp;t=9687</t>
  </si>
  <si>
    <t>https://youtu.be/8Q6JbuP9wbI?si=oPLzfpP-g0jvYEwK&amp;t=11311</t>
  </si>
  <si>
    <t>https://youtu.be/8Q6JbuP9wbI?si=tAnKmnFkjz0CMwKO&amp;t=13059</t>
  </si>
  <si>
    <t>https://youtu.be/8Q6JbuP9wbI?si=j1rWT975tel-UjLu&amp;t=14977</t>
  </si>
  <si>
    <t>https://youtu.be/RJ3lV4aXPoU?si=F0bAo3gLkAJ9JSWC&amp;t=1251</t>
  </si>
  <si>
    <t>https://youtu.be/RJ3lV4aXPoU?si=Q0L6pnSZywFuSNT5&amp;t=2497</t>
  </si>
  <si>
    <t>https://youtu.be/RJ3lV4aXPoU?si=b6IHfwIsrLHzrLM9&amp;t=3059</t>
  </si>
  <si>
    <t>https://youtu.be/RJ3lV4aXPoU?si=uw2dkIvaFe3-qTKd&amp;t=4219</t>
  </si>
  <si>
    <t>https://youtu.be/RJ3lV4aXPoU?si=1ZqMUUuRetMp_eim&amp;t=6244</t>
  </si>
  <si>
    <t>https://youtu.be/RJ3lV4aXPoU?si=ecLpLdw0PJ_jxjgL&amp;t=7081</t>
  </si>
  <si>
    <t>https://youtu.be/RJ3lV4aXPoU?si=5v3s8cnE5fndA8hF&amp;t=7996</t>
  </si>
  <si>
    <t>https://youtu.be/x8Z_M_31zU8?si=5DREZzP61yPvRxYz&amp;t=1122</t>
  </si>
  <si>
    <t>https://youtu.be/x8Z_M_31zU8?si=H3REC3l2JEtwbmj_&amp;t=2903</t>
  </si>
  <si>
    <t>https://youtu.be/x8Z_M_31zU8?si=_Whh_IxcdmZ2mYfW&amp;t=4479</t>
  </si>
  <si>
    <t>https://youtu.be/x8Z_M_31zU8?si=s3aYfpLh_voyJUFq&amp;t=5617</t>
  </si>
  <si>
    <t>https://youtu.be/x8Z_M_31zU8?si=OgOp5-BJ-v1r6n05&amp;t=6866</t>
  </si>
  <si>
    <t>https://youtu.be/x8Z_M_31zU8?si=fEnH9bAmHIf-DE2o&amp;t=8366</t>
  </si>
  <si>
    <t>https://youtu.be/x8Z_M_31zU8?si=VkO6L_Oe71fm8XmN&amp;t=9175</t>
  </si>
  <si>
    <t>https://youtu.be/x8Z_M_31zU8?si=_aypJaqSmyj_irlD&amp;t=10754</t>
  </si>
  <si>
    <t>https://youtu.be/eaZWNRr6cuY?si=ZvbME7rZeE2zi-UC&amp;t=3531</t>
  </si>
  <si>
    <t>https://youtu.be/eaZWNRr6cuY?si=kxiPeirfjMAtQW7n&amp;t=4498</t>
  </si>
  <si>
    <t>https://youtu.be/eaZWNRr6cuY?si=rZ0ZSm7wgqOLU3GH&amp;t=5060</t>
  </si>
  <si>
    <t>https://youtu.be/eaZWNRr6cuY?si=lVwLqZVHZIJ8gSPG&amp;t=6294</t>
  </si>
  <si>
    <t>https://youtu.be/eaZWNRr6cuY?si=mSoOs3JWhrzrTbfi&amp;t=7274</t>
  </si>
  <si>
    <t>https://youtu.be/eaZWNRr6cuY?si=Ajmts3Yy5MwplgWt&amp;t=8180</t>
  </si>
  <si>
    <t>https://youtu.be/eaZWNRr6cuY?si=xrmngCQRsunFopil&amp;t=9132</t>
  </si>
  <si>
    <t>https://youtu.be/eaZWNRr6cuY?si=J0fIInPMAbygQwsn&amp;t=10479</t>
  </si>
  <si>
    <t>https://youtu.be/4OkCs5LRdgM?si=GRzo6YFufWqhOK7F&amp;t=1692</t>
  </si>
  <si>
    <t>https://youtu.be/4OkCs5LRdgM?si=WCiUVXCP-C8EEiiv&amp;t=2687</t>
  </si>
  <si>
    <t>https://youtu.be/4OkCs5LRdgM?si=MUd5c0ipwuvkRKvY&amp;t=4000</t>
  </si>
  <si>
    <t>https://youtu.be/4OkCs5LRdgM?si=eS79PsUrBa7FEoT4&amp;t=5068</t>
  </si>
  <si>
    <t>https://youtu.be/4OkCs5LRdgM?si=zEtkQ0_hD_tCU5hp&amp;t=5999</t>
  </si>
  <si>
    <t>https://youtu.be/4OkCs5LRdgM?si=w9ARduLj4H3GclJC&amp;t=7796</t>
  </si>
  <si>
    <t>https://youtu.be/lWOqt9ws_xo?si=lmSOr2RcDEeUliCb&amp;t=2417</t>
  </si>
  <si>
    <t>https://youtu.be/lWOqt9ws_xo?si=2MyI6GAJVk5X13qk&amp;t=4001</t>
  </si>
  <si>
    <t>https://youtu.be/lWOqt9ws_xo?si=WckXjykwCbAH3K-m&amp;t=4871</t>
  </si>
  <si>
    <t>https://youtu.be/lWOqt9ws_xo?si=sn07IlIIxRFOJZx-&amp;t=5680</t>
  </si>
  <si>
    <t>https://youtu.be/lWOqt9ws_xo?si=iuhtRPvV4H-qQ8WF&amp;t=7402</t>
  </si>
  <si>
    <t>2025.09.23</t>
    <phoneticPr fontId="2" type="noConversion"/>
  </si>
  <si>
    <t>https://youtu.be/NbokvWubFu4?si=xg6ckmWc8kj5sMuX&amp;t=904</t>
  </si>
  <si>
    <t>https://youtu.be/NbokvWubFu4?si=1YZV4U6PJQT8Mu0-&amp;t=1249</t>
  </si>
  <si>
    <t>https://youtu.be/NbokvWubFu4?si=57NW_EtHsGZY3p5_&amp;t=2211</t>
  </si>
  <si>
    <t>https://youtu.be/NbokvWubFu4?si=eZ5Fi47olF9cGxsF&amp;t=2992</t>
  </si>
  <si>
    <t>https://youtu.be/NbokvWubFu4?si=p1kQVolEY3Vxu6GV&amp;t=3767</t>
  </si>
  <si>
    <t>https://youtu.be/NbokvWubFu4?si=C76a_YFQPBxG6OIO&amp;t=4305</t>
  </si>
  <si>
    <t>https://youtu.be/NbokvWubFu4?si=MXgfUf843H1zK_9L&amp;t=5038</t>
  </si>
  <si>
    <t>https://youtu.be/NbokvWubFu4?si=JaJpBs3uiP6I_cOW&amp;t=6063</t>
  </si>
  <si>
    <t>https://youtu.be/NbokvWubFu4?si=iDSYr8mMjK-dyD-I&amp;t=7211</t>
  </si>
  <si>
    <t>2025.09.18</t>
    <phoneticPr fontId="2" type="noConversion"/>
  </si>
  <si>
    <t>https://youtu.be/YPs-sWoYpYI?si=VucvxHyzDA9wHNkG&amp;t=237</t>
  </si>
  <si>
    <t>https://youtu.be/YPs-sWoYpYI?si=rJ1aMwAnaI5mocHl&amp;t=1909</t>
  </si>
  <si>
    <t>https://youtu.be/YPs-sWoYpYI?si=1dUw7emDW0x5N4Oz&amp;t=2984</t>
  </si>
  <si>
    <t>https://youtu.be/YPs-sWoYpYI?si=sBK0PM_OQbgrlKkt&amp;t=4568</t>
  </si>
  <si>
    <t>https://youtu.be/YPs-sWoYpYI?si=Us1ZrZuqyzr1DKaV&amp;t=5641</t>
  </si>
  <si>
    <t>https://youtu.be/YPs-sWoYpYI?si=riY3MGTZv6_saJJF&amp;t=6927</t>
  </si>
  <si>
    <t>https://youtu.be/YPs-sWoYpYI?si=kpX3Y6hLqGVkk4A0&amp;t=8735</t>
  </si>
  <si>
    <t>https://youtu.be/YPs-sWoYpYI?si=7efDk81Abx-AVdsg&amp;t=10298</t>
  </si>
  <si>
    <t>https://youtu.be/YPs-sWoYpYI?si=zDpAuoSGONLxAj_H&amp;t=11705</t>
  </si>
  <si>
    <t>https://youtu.be/wRn645x5RlQ?si=iFXVyqN0ItvBKrdS&amp;t=2867</t>
  </si>
  <si>
    <t>https://youtu.be/wRn645x5RlQ?si=FcJmnpae9hr11QY4&amp;t=3450</t>
  </si>
  <si>
    <t>https://youtu.be/wRn645x5RlQ?si=yxagfN6RcrlWA1qg&amp;t=3993</t>
  </si>
  <si>
    <t>https://youtu.be/wRn645x5RlQ?si=SskfYG0ZaGSIA1Ei&amp;t=4812</t>
  </si>
  <si>
    <t>https://youtu.be/wRn645x5RlQ?si=_GHrSy3lxEoq45iI&amp;t=5532</t>
  </si>
  <si>
    <t>승</t>
    <phoneticPr fontId="2" type="noConversion"/>
  </si>
  <si>
    <t>2025.09.15</t>
    <phoneticPr fontId="2" type="noConversion"/>
  </si>
  <si>
    <t>https://youtu.be/_kTaEjBZDQk?si=ELq6_MxoDqX2pD6j&amp;t=2001</t>
  </si>
  <si>
    <t>https://youtu.be/_kTaEjBZDQk?si=ui5fGSPHy0IBDa4e&amp;t=3952</t>
  </si>
  <si>
    <t>https://youtu.be/_kTaEjBZDQk?si=9QZT0XAVu7G5lqCb&amp;t=4843</t>
  </si>
  <si>
    <t>https://youtu.be/_kTaEjBZDQk?si=0sfzYv6ZGXbpLiJt&amp;t=5891</t>
  </si>
  <si>
    <t>https://youtu.be/_kTaEjBZDQk?si=MaI_Fl3tdTe_OxTO&amp;t=7038</t>
  </si>
  <si>
    <t>https://youtu.be/xVBmx191KVk?si=Umz9-LqjSQx4Wlzj&amp;t=3822</t>
  </si>
  <si>
    <t>https://youtu.be/xVBmx191KVk?si=NgTDHc60pwR1Sk_l&amp;t=4610</t>
  </si>
  <si>
    <t>https://youtu.be/xVBmx191KVk?si=pSy3O5NzfSZvhzIF&amp;t=5154</t>
  </si>
  <si>
    <t>https://youtu.be/xVBmx191KVk?si=IFn8P8WJG7LId9TD&amp;t=6102</t>
  </si>
  <si>
    <t>https://youtu.be/xVBmx191KVk?si=ZJuWDH5YBRe43YkS&amp;t=8153</t>
  </si>
  <si>
    <t>https://youtu.be/xVBmx191KVk?si=6plw95ilu4QEHaky&amp;t=9561</t>
  </si>
  <si>
    <t>https://youtu.be/xVBmx191KVk?si=k_m6brcFmTmTq1Ze&amp;t=10285</t>
  </si>
  <si>
    <t>https://youtu.be/ZukYKbG4xc0?si=j2f4b40xV_sN_Uac&amp;t=3736</t>
  </si>
  <si>
    <t>https://youtu.be/ZukYKbG4xc0?si=SWVb_VFi6TZsjRbb&amp;t=4830</t>
  </si>
  <si>
    <t>https://youtu.be/ZukYKbG4xc0?si=cs3OHVE1mSknoB6H&amp;t=5651</t>
  </si>
  <si>
    <t>https://youtu.be/ZukYKbG4xc0?si=jQp3A3tT-7a-hX7j&amp;t=7151</t>
  </si>
  <si>
    <t>https://youtu.be/ZukYKbG4xc0?si=bKSgZXVmfj358XCT&amp;t=8841</t>
  </si>
  <si>
    <t>https://youtu.be/aJRKYMFs1-E?si=Z4_hl1or7pxCEMm-&amp;t=6059</t>
  </si>
  <si>
    <t>https://youtu.be/aJRKYMFs1-E?si=iciFTqGsuATXZGvt&amp;t=7085</t>
  </si>
  <si>
    <t>https://youtu.be/aJRKYMFs1-E?si=s-Eq_VMi-_DPI23m&amp;t=7994</t>
  </si>
  <si>
    <t>https://youtu.be/aJRKYMFs1-E?si=lV3_gT7miXwjhM_3&amp;t=8295</t>
  </si>
  <si>
    <t>https://youtu.be/aJRKYMFs1-E?si=DjNtRmcNQaAHXk40&amp;t=9595</t>
  </si>
  <si>
    <t>https://youtu.be/aJRKYMFs1-E?si=L5jVzMJwJB3JqXUP&amp;t=11193</t>
  </si>
  <si>
    <t>https://youtu.be/aJRKYMFs1-E?si=FGAO8PbwAyKLFyMX&amp;t=12368</t>
  </si>
  <si>
    <t>https://youtu.be/aJRKYMFs1-E?si=gUswoqxA-0QF-mA3&amp;t=13239</t>
  </si>
  <si>
    <t>https://youtu.be/aJRKYMFs1-E?si=Fh4T7QCx7ezLOvdN&amp;t=14483</t>
  </si>
  <si>
    <t>https://youtu.be/cRy4TzENFwY?si=KqmSFZ1fQUv6pAjX&amp;t=4580</t>
  </si>
  <si>
    <t>https://youtu.be/cRy4TzENFwY?si=WJcCdPgeSoatISQE&amp;t=6749</t>
  </si>
  <si>
    <t>https://youtu.be/cRy4TzENFwY?si=u3fkaqQVUw_vP_gO&amp;t=8111</t>
  </si>
  <si>
    <t>https://youtu.be/cRy4TzENFwY?si=fcJrd0d1a4Po3Rbv&amp;t=9110</t>
  </si>
  <si>
    <t>https://youtu.be/cRy4TzENFwY?si=OnpDCsntIRaGb5op&amp;t=11324</t>
  </si>
  <si>
    <t>https://youtu.be/cRy4TzENFwY?si=mWbrccT7w4xQl_uU&amp;t=12259</t>
  </si>
  <si>
    <t>https://youtu.be/cRy4TzENFwY?si=66YTOsvkoSCOC1Vj&amp;t=13832</t>
  </si>
  <si>
    <t>https://youtu.be/6UlIfeJHLO0?si=qO_kVApT-a6WoB37&amp;t=5562</t>
  </si>
  <si>
    <t>https://youtu.be/6UlIfeJHLO0?si=juI3lnedrYH22T2R&amp;t=6621</t>
  </si>
  <si>
    <t>https://youtu.be/6UlIfeJHLO0?si=jJmLc-nexHj8oiHH&amp;t=8010</t>
  </si>
  <si>
    <t>https://youtu.be/6UlIfeJHLO0?si=qu-cLdEUpe581eT5&amp;t=8510</t>
  </si>
  <si>
    <t>https://youtu.be/6UlIfeJHLO0?si=E_jRRRpjnujerqLG&amp;t=10369</t>
  </si>
  <si>
    <t>https://youtu.be/6UlIfeJHLO0?si=3VQIQvjR2mhQJ2Dt&amp;t=11604</t>
  </si>
  <si>
    <t>https://youtu.be/6UlIfeJHLO0?si=09WqaJIw3I8xWR8d&amp;t=13075</t>
  </si>
  <si>
    <t>https://youtu.be/6UlIfeJHLO0?si=UWCQNkQv4cB4458F&amp;t=14509</t>
  </si>
  <si>
    <t>https://youtu.be/CmCAu1Z-xTM?si=69x8lM2br3xC-mk8&amp;t=4075</t>
  </si>
  <si>
    <t>https://youtu.be/CmCAu1Z-xTM?si=uQ7bLVUyDqHCoFeP&amp;t=4971</t>
  </si>
  <si>
    <t>https://youtu.be/CmCAu1Z-xTM?si=LRZ9hDrgw6AZ1dXt&amp;t=6051</t>
  </si>
  <si>
    <t>https://youtu.be/CmCAu1Z-xTM?si=uCCErZHcRyj4Uazw&amp;t=7826</t>
  </si>
  <si>
    <t>https://youtu.be/CmCAu1Z-xTM?si=fOzJtfljm4EqlpoN&amp;t=9775</t>
  </si>
  <si>
    <t>https://youtu.be/CmCAu1Z-xTM?si=HDdE83TUvlOAmC4_&amp;t=10901</t>
  </si>
  <si>
    <t>https://youtu.be/CmCAu1Z-xTM?si=natU24pEM-iC1X00&amp;t=10484</t>
  </si>
  <si>
    <t>https://youtu.be/CmCAu1Z-xTM?si=y__N8QXx_wF6V4YD&amp;t=12131</t>
  </si>
  <si>
    <t>https://youtu.be/TrNmdUp5m7E?si=iMmhcTwuBz_-H-ZP&amp;t=4043</t>
  </si>
  <si>
    <t>https://youtu.be/TrNmdUp5m7E?si=bYj-GZiRKgnwolL_&amp;t=5522</t>
  </si>
  <si>
    <t>https://youtu.be/TrNmdUp5m7E?si=tjVZrXqqFIs-SBAV&amp;t=7603</t>
  </si>
  <si>
    <t>https://youtu.be/TrNmdUp5m7E?si=6ndw24s2FuRff1_e&amp;t=9976</t>
  </si>
  <si>
    <t>https://youtu.be/TrNmdUp5m7E?si=deJNCQ2hi-ba4TOx&amp;t=10491</t>
  </si>
  <si>
    <t>https://youtu.be/TrNmdUp5m7E?si=pco3Z5mbXv8TyC8a&amp;t=10991</t>
  </si>
  <si>
    <t>https://youtu.be/TrNmdUp5m7E?si=4kXBBbUC5yAUbbSx&amp;t=12224</t>
  </si>
  <si>
    <t>2025.07.05</t>
    <phoneticPr fontId="2" type="noConversion"/>
  </si>
  <si>
    <t>https://youtu.be/FqmuW224740?si=L7bKpghk2C1gwnvv&amp;t=521</t>
  </si>
  <si>
    <t>https://youtu.be/FqmuW224740?si=1u7fnQ7ifAcFnSgE&amp;t=2156</t>
  </si>
  <si>
    <t>https://youtu.be/FqmuW224740?si=lJHRfJ8SuJANItTP&amp;t=2156</t>
  </si>
  <si>
    <t>https://youtu.be/FqmuW224740?si=qK07P3A7hZF9UT-o&amp;t=3665</t>
  </si>
  <si>
    <t>https://youtu.be/FqmuW224740?si=UMb5lP_WOETELKOi&amp;t=6218</t>
  </si>
  <si>
    <t>https://youtu.be/FqmuW224740?si=wwAHJI4q-VIev9zl&amp;t=8013</t>
  </si>
  <si>
    <t>https://youtu.be/FqmuW224740?si=_O9cRMCvTssNK2Ey&amp;t=8553</t>
  </si>
  <si>
    <t>https://youtu.be/FqmuW224740?si=lnjC_pqPUtIMScPu&amp;t=9772</t>
  </si>
  <si>
    <t>https://youtu.be/FqmuW224740?si=jPE3dMMWwld2JXTo&amp;t=11123</t>
  </si>
  <si>
    <t>https://youtu.be/FqmuW224740?si=-96O7iyDiTIHtfjz&amp;t=11720</t>
  </si>
  <si>
    <t>https://youtu.be/FqmuW224740?si=M5y2z0UDzcrtojwF&amp;t=14527</t>
  </si>
  <si>
    <t>https://youtu.be/aFbWhJbalxk?si=00vZBlnuQFCi45Zg&amp;t=227</t>
  </si>
  <si>
    <t>https://youtu.be/aFbWhJbalxk?si=XbGcJdpn48z74iw0&amp;t=1948</t>
  </si>
  <si>
    <t>https://youtu.be/aFbWhJbalxk?si=x-fnTPbJ1DYn7s4H&amp;t=3711</t>
  </si>
  <si>
    <t>https://youtu.be/aFbWhJbalxk?si=lgQfVJitp7tcjuzW&amp;t=5207</t>
  </si>
  <si>
    <t>https://youtu.be/aFbWhJbalxk?si=_y1iT2f2ucZzd-ZQ&amp;t=7206</t>
  </si>
  <si>
    <t>https://youtu.be/aFbWhJbalxk?si=JJCbBqDHfzwzdgXz&amp;t=7902</t>
  </si>
  <si>
    <t>https://youtu.be/aFbWhJbalxk?si=HL6pszeuPnlFUaI7&amp;t=9310</t>
  </si>
  <si>
    <t>https://youtu.be/aFbWhJbalxk?si=9WeJ92v5QxtxFlrK&amp;t=10670</t>
  </si>
  <si>
    <t>https://youtu.be/aFbWhJbalxk?si=B8eVqgpL7Qy5CrK7&amp;t=11950</t>
  </si>
  <si>
    <t>https://youtu.be/aFbWhJbalxk?si=3Xc99BYsLI22XmjA&amp;t=13474</t>
  </si>
  <si>
    <t>https://youtu.be/_jfl2rJ9-l4?si=217nyaOIi7G-c-eH&amp;t=710</t>
  </si>
  <si>
    <t>https://youtu.be/_jfl2rJ9-l4?si=6BsralPrP9VGJVnJ&amp;t=1798</t>
  </si>
  <si>
    <t>https://youtu.be/_jfl2rJ9-l4?si=H2LFVCS8S_An_wgF&amp;t=3496</t>
  </si>
  <si>
    <t>https://youtu.be/_jfl2rJ9-l4?si=7IQE2zCoiYUQrDdl&amp;t=4993</t>
  </si>
  <si>
    <t>https://youtu.be/_jfl2rJ9-l4?si=_-QMKX97G0g8X43S&amp;t=6304</t>
  </si>
  <si>
    <t>https://youtu.be/_jfl2rJ9-l4?si=VLx6E5ZV5xtbWwpT&amp;t=8165</t>
  </si>
  <si>
    <t>https://youtu.be/ae1NKhTdWlA?si=8m3DaF6xP5Y4WX6Y&amp;t=3437</t>
  </si>
  <si>
    <t>https://youtu.be/ae1NKhTdWlA?si=Av_eprC9czGD4TCM&amp;t=4259</t>
  </si>
  <si>
    <t>https://youtu.be/ae1NKhTdWlA?si=L9ShzChbekJHvLS6&amp;t=6094</t>
  </si>
  <si>
    <t>https://youtu.be/ae1NKhTdWlA?si=Ndt-2Zw9XZUuqWel&amp;t=6789</t>
  </si>
  <si>
    <t>https://youtu.be/ae1NKhTdWlA?si=goGUMTVXoB7ghOM-&amp;t=8414</t>
  </si>
  <si>
    <t>https://youtu.be/ae1NKhTdWlA?si=X08qdB9eHPCOpf88&amp;t=9657</t>
  </si>
  <si>
    <t>https://youtu.be/QMiXbIDtXHc?si=spCAgh4lmZSgbY05&amp;t=530</t>
  </si>
  <si>
    <t>https://youtu.be/QMiXbIDtXHc?si=_zF6ou6NH1F-MjAH&amp;t=1649</t>
  </si>
  <si>
    <t>https://youtu.be/QMiXbIDtXHc?si=FVUpabA73YWOxri7&amp;t=3814</t>
  </si>
  <si>
    <t>https://youtu.be/QMiXbIDtXHc?si=YYrUqlOQQqz9aZE_&amp;t=4655</t>
  </si>
  <si>
    <t>https://youtu.be/QMiXbIDtXHc?si=QtSnNRaXrYPird7f&amp;t=5785</t>
  </si>
  <si>
    <t>https://youtu.be/QMiXbIDtXHc?si=An0r7R8zq1QAP8nf&amp;t=7312</t>
  </si>
  <si>
    <t>https://youtu.be/QMiXbIDtXHc?si=5h_tcK2cheExfrNw&amp;t=8328</t>
  </si>
  <si>
    <t>https://youtu.be/zHvyMG0jcTM?si=BH6QrQfpk7cdoOPq&amp;t=7996</t>
  </si>
  <si>
    <t>https://youtu.be/zHvyMG0jcTM?si=sBrCVHJJ1_9SIv3s&amp;t=8612</t>
  </si>
  <si>
    <t>https://youtu.be/zHvyMG0jcTM?si=3pBNS-0RzMv4lbTq&amp;t=9339</t>
  </si>
  <si>
    <t>https://youtu.be/zHvyMG0jcTM?si=zzUmrCIHQf34j0IC&amp;t=10670</t>
  </si>
  <si>
    <t>https://youtu.be/zHvyMG0jcTM?si=SM2YhgQ3epYJ0ZVL&amp;t=12551</t>
  </si>
  <si>
    <t>https://youtu.be/zHvyMG0jcTM?si=N8oV4pfA1EBs50yM&amp;t=13545</t>
  </si>
  <si>
    <t>https://youtu.be/zHvyMG0jcTM?si=FHQzH-RwoTDes1VD&amp;t=14966</t>
  </si>
  <si>
    <t>https://youtu.be/zHvyMG0jcTM?si=Da6A-Z3RFthlMyoh&amp;t=15981</t>
  </si>
  <si>
    <t>https://youtu.be/_LLHrRJ03y4?si=x1HeBGeffuAN7P8f&amp;t=3645</t>
  </si>
  <si>
    <t>https://youtu.be/_LLHrRJ03y4?si=TFYAEEgkbhNNqtYe&amp;t=4837</t>
  </si>
  <si>
    <t>https://youtu.be/_LLHrRJ03y4?si=tnXi4sFJa0MfeMjN&amp;t=6407</t>
  </si>
  <si>
    <t>https://youtu.be/_LLHrRJ03y4?si=WTAnxSlTJVtPeE5B&amp;t=7550</t>
  </si>
  <si>
    <t>https://youtu.be/_LLHrRJ03y4?si=1B2jAz51cAYsilSM&amp;t=8412</t>
  </si>
  <si>
    <t>https://youtu.be/_LLHrRJ03y4?si=0wNuHvHywdjE6TMA&amp;t=9417</t>
  </si>
  <si>
    <t>https://youtu.be/_LLHrRJ03y4?si=HzmFXvnNxaNa_zBP&amp;t=11861</t>
  </si>
  <si>
    <t>https://youtu.be/zLVYydcrtGY?si=jOjo9zlbPl_kpqZF&amp;t=3703</t>
  </si>
  <si>
    <t>https://youtu.be/zLVYydcrtGY?si=76LY7ereL3n6nEbV&amp;t=4922</t>
  </si>
  <si>
    <t>https://youtu.be/zLVYydcrtGY?si=fosVjBvd1SfzzyP2&amp;t=7844</t>
  </si>
  <si>
    <t>https://youtu.be/zLVYydcrtGY?si=qaAR22J_auPbvjH_&amp;t=8567</t>
  </si>
  <si>
    <t>https://youtu.be/zLVYydcrtGY?si=zGpfsMLoRsiTX8_i&amp;t=9433</t>
  </si>
  <si>
    <t>https://youtu.be/zLVYydcrtGY?si=mlCgudRd6yx5vvcn&amp;t=10784</t>
  </si>
  <si>
    <t>https://youtu.be/zLVYydcrtGY?si=nxXup5LPGKKKsl4y&amp;t=12663</t>
  </si>
  <si>
    <t>https://youtu.be/ZgZZDclEdIA?si=X1eke6C6KKOU9jBr&amp;t=2935</t>
  </si>
  <si>
    <t>https://youtu.be/ZgZZDclEdIA?si=QB2NNpkU-YGCmctc&amp;t=4378</t>
  </si>
  <si>
    <t>https://youtu.be/ZgZZDclEdIA?si=KE5MeAWMPtHLyERn&amp;t=5441</t>
  </si>
  <si>
    <t>https://youtu.be/ZgZZDclEdIA?si=9oNYtY8_ZBsdbGe0&amp;t=6929</t>
  </si>
  <si>
    <t>https://youtu.be/ZgZZDclEdIA?si=gYKv_vfMshUMu9c3&amp;t=8888</t>
  </si>
  <si>
    <t>https://youtu.be/ZgZZDclEdIA?si=8vAytOmxJtUUdL5C&amp;t=10177</t>
  </si>
  <si>
    <t>https://youtu.be/ZgZZDclEdIA?si=pXJ_NrmHx1AV9M3u&amp;t=11261</t>
  </si>
  <si>
    <t>2025.05.13</t>
    <phoneticPr fontId="2" type="noConversion"/>
  </si>
  <si>
    <t>https://youtu.be/8sURAdwGFo0?si=1YbgwUQfWC7beOQd&amp;t=1313</t>
  </si>
  <si>
    <t>https://youtu.be/8sURAdwGFo0?si=TloCbNNGNtDrNZrx&amp;t=2595</t>
  </si>
  <si>
    <t>https://youtu.be/8sURAdwGFo0?si=Y6nbUdskUxMMx_1i&amp;t=3762</t>
  </si>
  <si>
    <t>https://youtu.be/8sURAdwGFo0?si=DkfYzC0NoFRz06Lf&amp;t=5827</t>
  </si>
  <si>
    <t>https://youtu.be/8sURAdwGFo0?si=NH6re9tVaWf82wom&amp;t=7222</t>
  </si>
  <si>
    <t>https://youtu.be/8sURAdwGFo0?si=cFVMpXjG8dMimjCX&amp;t=9138</t>
  </si>
  <si>
    <t>https://youtu.be/l0nm6alaztY?si=ankA6rmoh4crxQTl&amp;t=3800</t>
  </si>
  <si>
    <t>https://youtu.be/l0nm6alaztY?si=oF3FbV7Q_RpipX29&amp;t=4758</t>
  </si>
  <si>
    <t>https://youtu.be/l0nm6alaztY?si=FD9S3pnVcbOsAI-R&amp;t=6492</t>
  </si>
  <si>
    <t>https://youtu.be/l0nm6alaztY?si=FKZu9yeeRUHmLKr9&amp;t=8785</t>
  </si>
  <si>
    <t>https://youtu.be/l0nm6alaztY?si=2I0wfhsbLnpkhJ44&amp;t=10057</t>
  </si>
  <si>
    <t>https://youtu.be/l0nm6alaztY?si=4LesC5IRH2-RYUA2&amp;t=11603</t>
  </si>
  <si>
    <t>https://youtu.be/l0nm6alaztY?si=6OjQR8gAHeEbuk-k&amp;t=13855</t>
  </si>
  <si>
    <t>https://youtu.be/4mss9wFcDDs?si=25daVrS-U9ItuaLu&amp;t=3213</t>
  </si>
  <si>
    <t>https://youtu.be/4mss9wFcDDs?si=Eo6yLYZf3CodCqHk&amp;t=5738</t>
  </si>
  <si>
    <t>https://youtu.be/4mss9wFcDDs?si=vo-w2T4yqJOQG00-&amp;t=7526</t>
  </si>
  <si>
    <t>https://youtu.be/4mss9wFcDDs?si=SJGiDQJCpXyuH34_&amp;t=10035</t>
  </si>
  <si>
    <t>https://youtu.be/4mss9wFcDDs?si=Pzp6s2sMGQcJXEoY&amp;t=11115</t>
  </si>
  <si>
    <t>https://youtu.be/4mss9wFcDDs?si=d6k-oMZ0gc0pAsXm&amp;t=13396</t>
  </si>
  <si>
    <t>https://youtu.be/uDl_ZteqKFU?si=ZPKQpejq_vMqxOPT&amp;t=2642</t>
  </si>
  <si>
    <t>https://youtu.be/uDl_ZteqKFU?si=zgkFcuRRF3GzYXFa&amp;t=3927</t>
  </si>
  <si>
    <t>https://youtu.be/uDl_ZteqKFU?si=PFAxAIEuwWH1MWMj&amp;t=5021</t>
  </si>
  <si>
    <t>https://youtu.be/uDl_ZteqKFU?si=Vr74wYSmWYuPCr-N&amp;t=6527</t>
  </si>
  <si>
    <t>https://youtu.be/uDl_ZteqKFU?si=k8XT9y6NEcSVoSfM&amp;t=7372</t>
  </si>
  <si>
    <t>https://youtu.be/yv-NgrlJsV4?si=JKMzZ6jU0GYmsIdc&amp;t=4076</t>
  </si>
  <si>
    <t>https://youtu.be/yv-NgrlJsV4?si=WDr_MgOI0hKnc9w6&amp;t=5873</t>
  </si>
  <si>
    <t>https://youtu.be/yv-NgrlJsV4?si=WDMVnzok4soXG4oj&amp;t=6967</t>
  </si>
  <si>
    <t>https://youtu.be/yv-NgrlJsV4?si=iCrgSL3v3zvGGy4n&amp;t=8495</t>
  </si>
  <si>
    <t>https://youtu.be/yv-NgrlJsV4?si=DmbN_RH8q9HABTlT&amp;t=10013</t>
  </si>
  <si>
    <t>https://youtu.be/yv-NgrlJsV4?si=NcOWR61Sf58GQnWC&amp;t=11683</t>
  </si>
  <si>
    <t>https://youtu.be/h9xYnBRDbQI?si=SVGeecKo0mXrVF5V&amp;t=6239</t>
  </si>
  <si>
    <t>https://youtu.be/h9xYnBRDbQI?si=leDOryC1HMrT0Ucv&amp;t=6801</t>
  </si>
  <si>
    <t>https://youtu.be/h9xYnBRDbQI?si=8zFf1eC4SjALrVdW&amp;t=7924</t>
  </si>
  <si>
    <t>https://youtu.be/h9xYnBRDbQI?si=srehucVpO6j4ZyFu&amp;t=9375</t>
  </si>
  <si>
    <t>https://youtu.be/h9xYnBRDbQI?si=oLYBCroOhvYmChp8&amp;t=10595</t>
  </si>
  <si>
    <t>https://youtu.be/h9xYnBRDbQI?si=vLI7EnFFqfr6IzhE&amp;t=12269</t>
  </si>
  <si>
    <t>https://youtu.be/blZshsVJOcI?si=r9icBhUQLInQF4-c&amp;t=2359</t>
  </si>
  <si>
    <t>https://youtu.be/blZshsVJOcI?si=Qb69OPFAPwmYmvIQ&amp;t=3790</t>
  </si>
  <si>
    <t>https://youtu.be/blZshsVJOcI?si=SNybs4RYV0PKEhno&amp;t=5661</t>
  </si>
  <si>
    <t>https://youtu.be/blZshsVJOcI?si=g1HY3Xie7S5Y1LqD&amp;t=6099</t>
  </si>
  <si>
    <t>https://youtu.be/blZshsVJOcI?si=h517j9RSxKo-J6b5&amp;t=7038</t>
  </si>
  <si>
    <t>https://youtu.be/blZshsVJOcI?si=POHqTTg1A77Iafou&amp;t=7952</t>
  </si>
  <si>
    <t>https://youtu.be/blZshsVJOcI?si=IcteTR-qsYLoJ-_I&amp;t=8853</t>
  </si>
  <si>
    <t>https://youtu.be/blZshsVJOcI?si=J09XrYO8ZvYH62bk&amp;t=9717</t>
  </si>
  <si>
    <t>https://youtu.be/blZshsVJOcI?si=uchIe6wcIrdPWbNS&amp;t=10703</t>
  </si>
  <si>
    <t>https://youtu.be/blZshsVJOcI?si=TrJOJKfpzmyTg1ni&amp;t=12171</t>
  </si>
  <si>
    <t>https://youtu.be/blZshsVJOcI?si=C4Y_b9SGYdlOcRiL&amp;t=13120</t>
  </si>
  <si>
    <t>https://youtu.be/blZshsVJOcI?si=gvaHfNtALXAm4kJr&amp;t=14365</t>
  </si>
  <si>
    <t>https://youtu.be/blZshsVJOcI?si=l_-VQ1IQm4uNYBVN&amp;t=15749</t>
  </si>
  <si>
    <t>https://youtu.be/cetnvKNmJHM?si=A60WXYohYQv6pIpj&amp;t=3662</t>
  </si>
  <si>
    <t>https://youtu.be/cetnvKNmJHM?si=W2T_boLy4cfnrulw&amp;t=4916</t>
  </si>
  <si>
    <t>https://youtu.be/cetnvKNmJHM?si=KYq6tbalAnRgXWT0&amp;t=5747</t>
  </si>
  <si>
    <t>https://youtu.be/cetnvKNmJHM?si=awwOXrU02D14Vr7k&amp;t=7211</t>
  </si>
  <si>
    <t>https://youtu.be/e8Hrn4REVfk?si=mMpbQNglhsabXUZe&amp;t=3759</t>
  </si>
  <si>
    <t>https://youtu.be/e8Hrn4REVfk?si=H-4oYP8RTnABfElg&amp;t=5166</t>
  </si>
  <si>
    <t>https://youtu.be/e8Hrn4REVfk?si=HzL9blKehxQJFRKI&amp;t=5982</t>
  </si>
  <si>
    <t>https://youtu.be/e8Hrn4REVfk?si=_p8NNEEL4IG0inh7&amp;t=7064</t>
  </si>
  <si>
    <t>https://youtu.be/-OYQIsE1exk?si=qKPP7yBQT0k-Y2PV&amp;t=1064</t>
  </si>
  <si>
    <t>https://youtu.be/-OYQIsE1exk?si=EciEqNhz70oe0wR3&amp;t=1743</t>
  </si>
  <si>
    <t>https://youtu.be/-OYQIsE1exk?si=4Rx00iz9nTMgc-pX&amp;t=2814</t>
  </si>
  <si>
    <t>https://youtu.be/-OYQIsE1exk?si=1Ug2UkRLs7dS3ghW&amp;t=4031</t>
  </si>
  <si>
    <t>https://youtu.be/-OYQIsE1exk?si=Q_d3aUl4faAhs-i8&amp;t=5550</t>
  </si>
  <si>
    <t>https://youtu.be/-OYQIsE1exk?si=ojWFcg6Do-NizVfB&amp;t=6389</t>
  </si>
  <si>
    <t>https://youtu.be/-OYQIsE1exk?si=uoSrEDzXMTWsjAVK&amp;t=7789</t>
  </si>
  <si>
    <t>https://youtu.be/-OYQIsE1exk?si=2T1RoXRQka5zcIMq&amp;t=8812</t>
  </si>
  <si>
    <t>https://youtu.be/-OYQIsE1exk?si=2SnPzfHEYvh4g5LA&amp;t=9924</t>
  </si>
  <si>
    <t>https://youtu.be/441TroZONDI?si=oNU-3YnhUjzfdDpo&amp;t=4322</t>
  </si>
  <si>
    <t>https://youtu.be/441TroZONDI?si=ulmlcaQv7lQG5TzA&amp;t=6777</t>
  </si>
  <si>
    <t>https://youtu.be/441TroZONDI?si=m2mCwJtPHoqNCqfA&amp;t=8258</t>
  </si>
  <si>
    <t>https://youtu.be/441TroZONDI?si=v7hojM2ukrMjLogA&amp;t=9459</t>
  </si>
  <si>
    <t>https://youtu.be/441TroZONDI?si=-Hu4kMZq8THfdvxh&amp;t=10768</t>
  </si>
  <si>
    <t>https://youtu.be/441TroZONDI?si=PklZnFOd3Hs2ykZo&amp;t=11776</t>
  </si>
  <si>
    <t>https://youtu.be/441TroZONDI?si=qtvtkIzip6M5MrRn&amp;t=12843</t>
  </si>
  <si>
    <t>https://youtu.be/441TroZONDI?si=aelUd4Dj0fXY3AvS&amp;t=14237</t>
  </si>
  <si>
    <t>https://youtu.be/441TroZONDI?si=glPW29O05cR-uw4J&amp;t=15352</t>
  </si>
  <si>
    <t>https://youtu.be/jcVVnj3vGwE?si=qfxdacg0qXXS_QLH&amp;t=3743</t>
  </si>
  <si>
    <t>https://youtu.be/jcVVnj3vGwE?si=7ajt52YdoDfNNz5c&amp;t=4838</t>
  </si>
  <si>
    <t>https://youtu.be/jcVVnj3vGwE?si=LCn3ANqqYORoSjln&amp;t=6064</t>
  </si>
  <si>
    <t>https://youtu.be/jcVVnj3vGwE?si=00zk2FmqED41Vnua&amp;t=7754</t>
  </si>
  <si>
    <t>https://youtu.be/jcVVnj3vGwE?si=7b5IvoDuCMdq6foe&amp;t=9794</t>
  </si>
  <si>
    <t>https://youtu.be/jcVVnj3vGwE?si=fYonlT9GvqE8Pomp&amp;t=11506</t>
  </si>
  <si>
    <t>https://youtu.be/jcVVnj3vGwE?si=B5sdjdqyDR__Tz2P&amp;t=12818</t>
  </si>
  <si>
    <t>https://youtu.be/_f07xXh31IE?si=pOOuGqBfhmsrn3Eo&amp;t=3210</t>
  </si>
  <si>
    <t>https://youtu.be/_f07xXh31IE?si=1FK2_eyTax926CqT&amp;t=4622</t>
  </si>
  <si>
    <t>https://youtu.be/_f07xXh31IE?si=ykXUQKzcivBnkvas&amp;t=6270</t>
  </si>
  <si>
    <t>https://youtu.be/_f07xXh31IE?si=Q8wXUD5ahUlo7psy&amp;t=7683</t>
  </si>
  <si>
    <t>https://youtu.be/_f07xXh31IE?si=m6ey_26dcZ6ZXBbC&amp;t=9335</t>
  </si>
  <si>
    <t>https://youtu.be/_f07xXh31IE?si=C3sHTObsVaRiR5a-&amp;t=8617</t>
  </si>
  <si>
    <t>https://youtu.be/_f07xXh31IE?si=GzY58RpcS6D70L4m&amp;t=10663</t>
  </si>
  <si>
    <t>2026.06.01</t>
    <phoneticPr fontId="2" type="noConversion"/>
  </si>
  <si>
    <t>JSA</t>
    <phoneticPr fontId="2" type="noConversion"/>
  </si>
  <si>
    <t>스타워즈 4강</t>
    <phoneticPr fontId="2" type="noConversion"/>
  </si>
  <si>
    <t>찌킹</t>
    <phoneticPr fontId="2" type="noConversion"/>
  </si>
  <si>
    <t>진땅콩</t>
    <phoneticPr fontId="2" type="noConversion"/>
  </si>
  <si>
    <t>임조이</t>
    <phoneticPr fontId="2" type="noConversion"/>
  </si>
  <si>
    <t>지두두</t>
    <phoneticPr fontId="2" type="noConversion"/>
  </si>
  <si>
    <t>아리송이</t>
    <phoneticPr fontId="2" type="noConversion"/>
  </si>
  <si>
    <t>백원이야</t>
    <phoneticPr fontId="2" type="noConversion"/>
  </si>
  <si>
    <t>엄보리</t>
    <phoneticPr fontId="2" type="noConversion"/>
  </si>
  <si>
    <t>소심</t>
    <phoneticPr fontId="2" type="noConversion"/>
  </si>
  <si>
    <t>쟈닌</t>
    <phoneticPr fontId="2" type="noConversion"/>
  </si>
  <si>
    <t>https://youtu.be/NeqyY8yGTp4?si=ZufVX4nwJDoNZphg&amp;t=4812</t>
  </si>
  <si>
    <t>https://youtu.be/NeqyY8yGTp4?si=RCZh2dEsEX1rK1CJ&amp;t=5647</t>
  </si>
  <si>
    <t>https://youtu.be/NeqyY8yGTp4?si=B-tWg9vJ2dCoPtW-&amp;t=6813</t>
  </si>
  <si>
    <t>https://youtu.be/NeqyY8yGTp4?si=ui5ssbhV8fx_mY_O&amp;t=7917</t>
  </si>
  <si>
    <t>https://youtu.be/NeqyY8yGTp4?si=lEgxMzD-yRujS0NF&amp;t=9482</t>
  </si>
  <si>
    <t>https://youtu.be/7X4-Ig1gs4E?si=--UZv7ccwVcoj97-&amp;t=2129</t>
  </si>
  <si>
    <t>https://youtu.be/7X4-Ig1gs4E?si=vBa5QlFCUAQFlmZ3&amp;t=2588</t>
  </si>
  <si>
    <t>https://youtu.be/7X4-Ig1gs4E?si=zhc2ZFfNo9giCtT9&amp;t=3860</t>
  </si>
  <si>
    <t>https://youtu.be/7X4-Ig1gs4E?si=Eiv4jPasEuQCMUZL&amp;t=4622</t>
  </si>
  <si>
    <t>https://youtu.be/7X4-Ig1gs4E?si=suhOfD1wHAJyyqgM&amp;t=5740</t>
  </si>
  <si>
    <t>https://youtu.be/7X4-Ig1gs4E?si=1mDmiD1shi6NbpxF&amp;t=5741</t>
  </si>
  <si>
    <t>https://youtu.be/7X4-Ig1gs4E?si=805kys2vqeZtP7Zd&amp;t=8476</t>
  </si>
  <si>
    <t>https://youtu.be/7X4-Ig1gs4E?si=r_tjh3F_nA3S52ih&amp;t=10902</t>
  </si>
  <si>
    <t>https://youtu.be/7X4-Ig1gs4E?si=6WVHomE7_7XtFyvC&amp;t=12329</t>
  </si>
  <si>
    <t>https://youtu.be/7X4-Ig1gs4E?si=YuWVSkLSDy2YBQ5-&amp;t=14529</t>
  </si>
  <si>
    <t>https://youtu.be/Ie8DSI7BMVE?si=ecOwIkSihCPHcXaY&amp;t=2443</t>
  </si>
  <si>
    <t>https://youtu.be/Ie8DSI7BMVE?si=sHiB-oDWWKhRMWO3&amp;t=2963</t>
  </si>
  <si>
    <t>https://youtu.be/Ie8DSI7BMVE?si=5Ow2vxSLmJUnAn5v&amp;t=4157</t>
  </si>
  <si>
    <t>https://youtu.be/Ie8DSI7BMVE?si=-uizRXW9PhwhHF9g&amp;t=4926</t>
  </si>
  <si>
    <t>https://youtu.be/Ie8DSI7BMVE?si=bzyAkjmiz2p2qYfn&amp;t=5912</t>
  </si>
  <si>
    <t>https://youtu.be/Ie8DSI7BMVE?si=2P3PB09ha9od5f1Y&amp;t=6612</t>
  </si>
  <si>
    <t>https://youtu.be/Ie8DSI7BMVE?si=Q6-bIhtw020eT3nD&amp;t=7393</t>
  </si>
  <si>
    <t>https://youtu.be/Ie8DSI7BMVE?si=_pE_qzLO0I9CF6vX&amp;t=8152</t>
  </si>
  <si>
    <t>https://youtu.be/Ie8DSI7BMVE?si=uwg5YIr7eh_2fDgy&amp;t=9979</t>
  </si>
  <si>
    <t>https://youtu.be/Ie8DSI7BMVE?si=tJ43QrOpT4lhbYlY&amp;t=11322</t>
  </si>
  <si>
    <t>https://youtu.be/Ie8DSI7BMVE?si=dVC6TlNoqFt4vdwC&amp;t=12366</t>
  </si>
  <si>
    <t>2025.03.04</t>
    <phoneticPr fontId="2" type="noConversion"/>
  </si>
  <si>
    <t>https://youtu.be/V5G9G0YyI2k?si=StfwH_t_uDG-oXDw&amp;t=3624</t>
  </si>
  <si>
    <t>다예</t>
    <phoneticPr fontId="2" type="noConversion"/>
  </si>
  <si>
    <t>기나</t>
    <phoneticPr fontId="2" type="noConversion"/>
  </si>
  <si>
    <t>앵지</t>
    <phoneticPr fontId="2" type="noConversion"/>
  </si>
  <si>
    <t>성예량</t>
    <phoneticPr fontId="2" type="noConversion"/>
  </si>
  <si>
    <t>임조이</t>
    <phoneticPr fontId="2" type="noConversion"/>
  </si>
  <si>
    <t>한쪼니</t>
    <phoneticPr fontId="2" type="noConversion"/>
  </si>
  <si>
    <t>빵미유</t>
    <phoneticPr fontId="2" type="noConversion"/>
  </si>
  <si>
    <t>핑핑</t>
    <phoneticPr fontId="2" type="noConversion"/>
  </si>
  <si>
    <t>[1]</t>
    <phoneticPr fontId="2" type="noConversion"/>
  </si>
  <si>
    <t>https://youtu.be/V5G9G0YyI2k?si=NOAYaGot1h0aPbup&amp;t=4342</t>
  </si>
  <si>
    <t>https://youtu.be/V5G9G0YyI2k?si=WFcgKhnZHOFtSbGh&amp;t=5175</t>
  </si>
  <si>
    <t>https://youtu.be/V5G9G0YyI2k?si=PUcu_olJi42bJ0pO&amp;t=5551</t>
  </si>
  <si>
    <t>https://youtu.be/V5G9G0YyI2k?si=M9jOL2gwaJdC5AsS&amp;t=7100</t>
  </si>
  <si>
    <t>https://youtu.be/V5G9G0YyI2k?si=jUBEzceX_yayt_TO&amp;t=8663</t>
  </si>
  <si>
    <t>https://youtu.be/V5G9G0YyI2k?si=L_EdlxGf8MQmMNUL&amp;t=10489</t>
  </si>
  <si>
    <t>https://youtu.be/V5G9G0YyI2k?si=fLdQES43z0usH64K&amp;t=11649</t>
  </si>
  <si>
    <t>https://youtu.be/R20xBuEclug?si=Tj8eCMUh3ge8BoxT&amp;t=4883</t>
  </si>
  <si>
    <t>https://youtu.be/R20xBuEclug?si=uTne-MxELC0TwVHQ&amp;t=6069</t>
  </si>
  <si>
    <t>https://youtu.be/R20xBuEclug?si=ZN6wLMOuHx0z9XsV&amp;t=6618</t>
  </si>
  <si>
    <t>https://youtu.be/R20xBuEclug?si=GrRe4ATRdkaLSrj2&amp;t=7825</t>
    <phoneticPr fontId="2" type="noConversion"/>
  </si>
  <si>
    <t>https://youtu.be/R20xBuEclug?si=eyryedNkmK7cFiUM&amp;t=8712</t>
  </si>
  <si>
    <t>https://youtu.be/R20xBuEclug?si=JyRH8BO_PHtuvY_-&amp;t=10520</t>
  </si>
  <si>
    <t>https://youtu.be/R20xBuEclug?si=VWCNFLrrb-afco7F&amp;t=11702</t>
  </si>
  <si>
    <t>https://youtu.be/R20xBuEclug?si=jZHIZcFuJ4lIlL3S&amp;t=12535</t>
  </si>
  <si>
    <t>https://youtu.be/R20xBuEclug?si=_85AZHS6NFkbF80b&amp;t=13522</t>
  </si>
  <si>
    <t>https://youtu.be/0gDlQUflycU?si=73VNjE2EfZcCY7im&amp;t=658</t>
  </si>
  <si>
    <t>https://youtu.be/0gDlQUflycU?si=ox7lTk2API5TWUMP&amp;t=1749</t>
  </si>
  <si>
    <t>https://youtu.be/0gDlQUflycU?si=tRlIcLsDOuyu3Qh2&amp;t=2813</t>
  </si>
  <si>
    <t>https://youtu.be/0gDlQUflycU?si=71BDeQiWQLnwmxYE&amp;t=4222</t>
  </si>
  <si>
    <t>https://youtu.be/0gDlQUflycU?si=Y89DzkydXpberZI1&amp;t=5638</t>
  </si>
  <si>
    <t>https://youtu.be/0gDlQUflycU?si=Fj62W7Kp8F4K7QEt&amp;t=7552</t>
  </si>
  <si>
    <t>https://youtu.be/0gDlQUflycU?si=PgYp8aOjkhLW1x6S&amp;t=8613</t>
  </si>
  <si>
    <t>https://youtu.be/0gDlQUflycU?si=AP3naH0YeESWHMr_&amp;t=10029</t>
  </si>
  <si>
    <t>https://youtu.be/0gDlQUflycU?si=dnKSKELkBkoQobwx&amp;t=11114</t>
  </si>
  <si>
    <t>https://youtu.be/LbCHQVNTPl4?si=knsLjyfZGiQUcSFq&amp;t=5637</t>
  </si>
  <si>
    <t>https://youtu.be/LbCHQVNTPl4?si=yQEq7fTl9ZKH6IoD&amp;t=6827</t>
  </si>
  <si>
    <t>https://youtu.be/LbCHQVNTPl4?si=qbCuQ5wb9cvEl9fQ&amp;t=8155</t>
  </si>
  <si>
    <t>https://youtu.be/LbCHQVNTPl4?si=g3omjjNeKT3H_5hD&amp;t=9132</t>
  </si>
  <si>
    <t>https://youtu.be/LbCHQVNTPl4?si=KXLyIWVbSeR0dhx8&amp;t=11155</t>
  </si>
  <si>
    <t>https://youtu.be/LbCHQVNTPl4?si=ngO6uQLQoC_dKNU6&amp;t=12190</t>
  </si>
  <si>
    <t>https://youtu.be/LbCHQVNTPl4?si=YG0o7ssR1Yn0vY_9&amp;t=12786</t>
  </si>
  <si>
    <t>https://youtu.be/LbCHQVNTPl4?si=JJQB7Ou-MWdmdeR7&amp;t=13978</t>
  </si>
  <si>
    <t>https://youtu.be/LbCHQVNTPl4?si=U_clcWPX11j0cXyt&amp;t=15113</t>
  </si>
  <si>
    <t>2026.06.02</t>
    <phoneticPr fontId="2" type="noConversion"/>
  </si>
  <si>
    <t>갯벌스타</t>
    <phoneticPr fontId="2" type="noConversion"/>
  </si>
  <si>
    <t>지두두</t>
    <phoneticPr fontId="2" type="noConversion"/>
  </si>
  <si>
    <t>토마토</t>
    <phoneticPr fontId="2" type="noConversion"/>
  </si>
  <si>
    <t>치리</t>
    <phoneticPr fontId="2" type="noConversion"/>
  </si>
  <si>
    <t>찌킹</t>
    <phoneticPr fontId="2" type="noConversion"/>
  </si>
  <si>
    <t>패</t>
    <phoneticPr fontId="2" type="noConversion"/>
  </si>
  <si>
    <t>승</t>
    <phoneticPr fontId="2" type="noConversion"/>
  </si>
  <si>
    <t>디임</t>
    <phoneticPr fontId="2" type="noConversion"/>
  </si>
  <si>
    <t>요닝</t>
    <phoneticPr fontId="2" type="noConversion"/>
  </si>
  <si>
    <t>효짱</t>
    <phoneticPr fontId="2" type="noConversion"/>
  </si>
  <si>
    <t>란란</t>
    <phoneticPr fontId="2" type="noConversion"/>
  </si>
  <si>
    <t>모리</t>
    <phoneticPr fontId="2" type="noConversion"/>
  </si>
  <si>
    <t>남수댕</t>
    <phoneticPr fontId="2" type="noConversion"/>
  </si>
  <si>
    <t>졈니</t>
    <phoneticPr fontId="2" type="noConversion"/>
  </si>
  <si>
    <t>https://youtu.be/ycD_eTwxDN4?si=i18kVBuvDD3CU2pV&amp;t=2251</t>
  </si>
  <si>
    <t>https://youtu.be/ycD_eTwxDN4?si=oR8YN-mMTevZKwp6&amp;t=4467</t>
  </si>
  <si>
    <t>https://youtu.be/ycD_eTwxDN4?si=qgeIboeelOtzCUAP&amp;t=5823</t>
  </si>
  <si>
    <t>https://youtu.be/ycD_eTwxDN4?si=uSXQGcNqsPhPnVZr&amp;t=6911</t>
  </si>
  <si>
    <t>https://youtu.be/ycD_eTwxDN4?si=ZyaGZ2zZo1IfSIUj&amp;t=8714</t>
  </si>
  <si>
    <t>https://youtu.be/ycD_eTwxDN4?si=DjAv_Wjv3mFOTPSN&amp;t=10992</t>
  </si>
  <si>
    <t>https://youtu.be/ycD_eTwxDN4?si=tZHd3-6x_oDHSLLb&amp;t=13598</t>
  </si>
  <si>
    <t>https://youtu.be/sfKaz7chfh4?si=CLMFp6Pw0glZk6sy&amp;t=971</t>
  </si>
  <si>
    <t>https://youtu.be/sfKaz7chfh4?si=rR1GqtjfeZUUhmPq&amp;t=2601</t>
  </si>
  <si>
    <t>https://youtu.be/sfKaz7chfh4?si=_IMiCf8A5LfEpdAj&amp;t=3246</t>
  </si>
  <si>
    <t>https://youtu.be/sfKaz7chfh4?si=TW4X4dbS_0d8zNkD&amp;t=4992</t>
  </si>
  <si>
    <t>https://youtu.be/sfKaz7chfh4?si=qC8l1AObZQJBYsvz&amp;t=5883</t>
  </si>
  <si>
    <t>https://youtu.be/sfKaz7chfh4?si=FjpGxy3HATNk9wGH&amp;t=6923</t>
  </si>
  <si>
    <t>https://youtu.be/aZJHouR4Y7k?si=5Abx_5F_WpApMQg6&amp;t=4698</t>
  </si>
  <si>
    <t>https://youtu.be/aZJHouR4Y7k?si=1ZkwTCV43_EN2tGB&amp;t=5993</t>
  </si>
  <si>
    <t>https://youtu.be/aZJHouR4Y7k?si=N3aLVdxfx5DZ5Hkh&amp;t=6639</t>
  </si>
  <si>
    <t>https://youtu.be/aZJHouR4Y7k?si=mZQ5CHHi_ptxR7kn&amp;t=7472</t>
  </si>
  <si>
    <t>https://youtu.be/aZJHouR4Y7k?si=sqgHe6az_Bm1jzSK&amp;t=8530</t>
  </si>
  <si>
    <t>https://youtu.be/aZJHouR4Y7k?si=EIAysOmgkRRUKIsn&amp;t=9769</t>
  </si>
  <si>
    <t>https://youtu.be/aZJHouR4Y7k?si=ttEtz78oQZTsE_BY&amp;t=10254</t>
  </si>
  <si>
    <t>https://youtu.be/CvT2Tvgm09o?si=T9tdRyxorz8yXnep&amp;t=2150</t>
  </si>
  <si>
    <t>https://youtu.be/CvT2Tvgm09o?si=56JZh7DX8CBkyMxe&amp;t=5755</t>
  </si>
  <si>
    <t>https://youtu.be/CvT2Tvgm09o?si=cK47gHME310-cPyW&amp;t=8943</t>
  </si>
  <si>
    <t>https://youtu.be/JHT85Q2VrEs?si=i67zmHH5lP9EeLtG&amp;t=146</t>
  </si>
  <si>
    <t>https://youtu.be/JHT85Q2VrEs?si=NHkunz4CxaC3dfCT&amp;t=2367</t>
  </si>
  <si>
    <t>https://youtu.be/JHT85Q2VrEs?si=uuft4wuhHk_q6jjp&amp;t=4059</t>
  </si>
  <si>
    <t>https://youtu.be/JHT85Q2VrEs?si=TiaP8O6JZMBAzqfS&amp;t=5755</t>
  </si>
  <si>
    <t>https://youtu.be/iiftvtuiKLM?si=Ua1ejmERVSHR3cfA&amp;t=3721</t>
  </si>
  <si>
    <t>https://youtu.be/iiftvtuiKLM?si=fQMuaJviW7swniS4&amp;t=5160</t>
  </si>
  <si>
    <t>https://youtu.be/iiftvtuiKLM?si=lAEVeuzISD9RsU73&amp;t=7976</t>
  </si>
  <si>
    <t>https://youtu.be/iiftvtuiKLM?si=LVIpuObQovn-dkxM&amp;t=9675</t>
  </si>
  <si>
    <t>https://youtu.be/iiftvtuiKLM?si=ieGlXet0uL6V9Ffq&amp;t=11211</t>
  </si>
  <si>
    <t>https://youtu.be/iiftvtuiKLM?si=GCA4-iVaxSzhboET&amp;t=13441</t>
  </si>
  <si>
    <t>https://youtu.be/iiftvtuiKLM?si=Qg-Nmg6Av3f3UaeD&amp;t=15159</t>
  </si>
  <si>
    <t>https://youtu.be/QDRrM3af3cQ?si=Q4xQdjZWBFufv56x&amp;t=2996</t>
  </si>
  <si>
    <t>https://youtu.be/QDRrM3af3cQ?si=vDcMdOyPKjZLFrDJ&amp;t=4398</t>
  </si>
  <si>
    <t>https://youtu.be/QDRrM3af3cQ?si=iiHVVldXbTNNqz9e&amp;t=5885</t>
  </si>
  <si>
    <t>https://youtu.be/QDRrM3af3cQ?si=yiX3RxgHX7OpEtWW&amp;t=7921</t>
  </si>
  <si>
    <t>https://youtu.be/QDRrM3af3cQ?si=FxaxlIsJh-aTFrNA&amp;t=6425</t>
  </si>
  <si>
    <t>https://youtu.be/QDRrM3af3cQ?si=8W1cDejJv2f575fQ&amp;t=9179</t>
  </si>
  <si>
    <t>https://youtu.be/QDRrM3af3cQ?si=c6dunocl1-Ji3KYg&amp;t=11466</t>
  </si>
  <si>
    <t>https://youtu.be/QDRrM3af3cQ?si=il6ntbylRbckLLM2&amp;t=9808</t>
  </si>
  <si>
    <t>https://youtu.be/OC427CN9i4U?si=yYBCdzFQ9KOWLRgC&amp;t=3018</t>
  </si>
  <si>
    <t>https://youtu.be/OC427CN9i4U?si=NmKP-oArGdKlkqtr&amp;t=3720</t>
  </si>
  <si>
    <t>https://youtu.be/OC427CN9i4U?si=7crjCPIiu1INOdf_&amp;t=5190</t>
  </si>
  <si>
    <t>https://youtu.be/OC427CN9i4U?si=E1DVd2vFTE_KLYuu&amp;t=5893</t>
  </si>
  <si>
    <t>https://youtu.be/OC427CN9i4U?si=XDHfFFNU1Ynt0Nos&amp;t=6723</t>
  </si>
  <si>
    <t>https://youtu.be/OC427CN9i4U?si=0bgylxq5FyudJTUh&amp;t=7941</t>
  </si>
  <si>
    <t>https://youtu.be/sveWh1Abl2o?si=S1wQxpZU--NXtN0T&amp;t=2729</t>
  </si>
  <si>
    <t>https://youtu.be/sveWh1Abl2o?si=bLhxaoxTiHD6eZje&amp;t=3431</t>
  </si>
  <si>
    <t>https://youtu.be/sveWh1Abl2o?si=n2ttDnfb3b9E6ZgG&amp;t=4496</t>
  </si>
  <si>
    <t>https://youtu.be/sveWh1Abl2o?si=iBV7fnhvXbbqduTM&amp;t=5874</t>
  </si>
  <si>
    <t>https://youtu.be/sveWh1Abl2o?si=1qfVgJBUEKMmekAa&amp;t=7609</t>
  </si>
  <si>
    <t>2025.11.21</t>
    <phoneticPr fontId="2" type="noConversion"/>
  </si>
  <si>
    <t>앵지</t>
    <phoneticPr fontId="2" type="noConversion"/>
  </si>
  <si>
    <t>쥬나</t>
    <phoneticPr fontId="2" type="noConversion"/>
  </si>
  <si>
    <t>https://youtu.be/VQa5eO2jnqs?si=l6OhWWHa63g4x63f&amp;t=4451</t>
  </si>
  <si>
    <t>https://youtu.be/VQa5eO2jnqs?si=OKraQnkSlXhCav8r&amp;t=4847</t>
  </si>
  <si>
    <t>선정은</t>
    <phoneticPr fontId="2" type="noConversion"/>
  </si>
  <si>
    <t>세나</t>
    <phoneticPr fontId="2" type="noConversion"/>
  </si>
  <si>
    <t>또봉순</t>
    <phoneticPr fontId="2" type="noConversion"/>
  </si>
  <si>
    <t>https://youtu.be/VQa5eO2jnqs?si=BDjxHyteiTcK2IjE&amp;t=5271</t>
  </si>
  <si>
    <t>https://youtu.be/VQa5eO2jnqs?si=L_QNfWry1OX5-Alk&amp;t=5690</t>
  </si>
  <si>
    <t>https://youtu.be/VQa5eO2jnqs?si=YbXwhOq8rpmgyGBZ&amp;t=6094</t>
  </si>
  <si>
    <t>https://youtu.be/VQa5eO2jnqs?si=aRAPPoMDa8AW_mL6&amp;t=7827</t>
  </si>
  <si>
    <t>https://youtu.be/Kb2XuKjGAHk?si=ZO-DnJhqPui6uCZR&amp;t=4733</t>
  </si>
  <si>
    <t>https://youtu.be/Kb2XuKjGAHk?si=TRzd2eed3QV0YKrc&amp;t=6145</t>
  </si>
  <si>
    <t>https://youtu.be/Kb2XuKjGAHk?si=ghNIffGFTe37q2Nt&amp;t=7613</t>
  </si>
  <si>
    <t>https://youtu.be/Kb2XuKjGAHk?si=33kSjZe-5-RZaRc6&amp;t=8850</t>
  </si>
  <si>
    <t>https://youtu.be/Kb2XuKjGAHk?si=f1ABr864Kz953r07&amp;t=10874</t>
  </si>
  <si>
    <t>https://youtu.be/Kb2XuKjGAHk?si=oMOoZWYAYe3jpB4h&amp;t=12196</t>
  </si>
  <si>
    <t>https://youtu.be/93CO6h3y0Dg?si=lr_sPh8_jCeCb2Zm&amp;t=2931</t>
  </si>
  <si>
    <t>https://youtu.be/93CO6h3y0Dg?si=MUCix4DCA14-in8s&amp;t=4017</t>
  </si>
  <si>
    <t>https://youtu.be/93CO6h3y0Dg?si=sPrDW5PnBivN3lTU&amp;t=4627</t>
  </si>
  <si>
    <t>https://youtu.be/93CO6h3y0Dg?si=96c2Z2RBBcgiek-O&amp;t=5964</t>
  </si>
  <si>
    <t>https://youtu.be/93CO6h3y0Dg?si=nq7sdfJMAOtjnC3r&amp;t=6716</t>
  </si>
  <si>
    <t>https://youtu.be/93CO6h3y0Dg?si=V5Xsdz2QZS4O_-gE&amp;t=7261</t>
  </si>
  <si>
    <t>https://youtu.be/93CO6h3y0Dg?si=tPCxEwkqZeXAXwEN&amp;t=8240</t>
  </si>
  <si>
    <t>https://youtu.be/93CO6h3y0Dg?si=Np3XisNiS07J_M3Z&amp;t=8867</t>
  </si>
  <si>
    <t>https://youtu.be/yWFlsM5ZWZg?si=J0S0e2taluI8fVPi&amp;t=1687</t>
  </si>
  <si>
    <t>https://youtu.be/yWFlsM5ZWZg?si=duP_03njHCLlRIUI&amp;t=3371</t>
  </si>
  <si>
    <t>https://youtu.be/yWFlsM5ZWZg?si=W9iXtPgs_yJ0CLqv&amp;t=3960</t>
  </si>
  <si>
    <t>https://youtu.be/yWFlsM5ZWZg?si=-S--s6IQVOLIsHRz&amp;t=5109</t>
  </si>
  <si>
    <t>https://youtu.be/yWFlsM5ZWZg?si=ZKeQagsdAF_D1XxH&amp;t=5713</t>
  </si>
  <si>
    <t>https://youtu.be/yWFlsM5ZWZg?si=Ze0lT7Wdpyqts0Kn&amp;t=6184</t>
  </si>
  <si>
    <t>https://youtu.be/yWFlsM5ZWZg?si=vDbi8GWPDsEGOBs5&amp;t=7772</t>
  </si>
  <si>
    <t>https://youtu.be/yWFlsM5ZWZg?si=_FD6yhShemvg3GD2&amp;t=9139</t>
  </si>
  <si>
    <t>https://youtu.be/-7Cgad8guz8?si=3d1IPT8920MPFnG2&amp;t=1872</t>
  </si>
  <si>
    <t>https://youtu.be/-7Cgad8guz8?si=kVncMyppQ5yqfeRE&amp;t=2914</t>
  </si>
  <si>
    <t>https://youtu.be/-7Cgad8guz8?si=6y8Ci8v-e5mca0Ag&amp;t=4510</t>
  </si>
  <si>
    <t>https://youtu.be/-7Cgad8guz8?si=WLtFuIduaJHPtFKm&amp;t=5706</t>
  </si>
  <si>
    <t>https://youtu.be/-7Cgad8guz8?si=EbIjhS3p3SUoDUZH&amp;t=6803</t>
  </si>
  <si>
    <t>https://youtu.be/-7Cgad8guz8?si=OhLktux5oxGRXumn&amp;t=7724</t>
  </si>
  <si>
    <t>https://youtu.be/-7Cgad8guz8?si=Ycgx4ESrUABM8VQ-&amp;t=8089</t>
  </si>
  <si>
    <t>https://youtu.be/2D5lEOehYvU?si=sCpV8aKZyUye-ig0&amp;t=1967</t>
  </si>
  <si>
    <t>https://youtu.be/2D5lEOehYvU?si=7p6Yt9J8I7DVcruc&amp;t=3597</t>
  </si>
  <si>
    <t>https://youtu.be/2D5lEOehYvU?si=YpMgu_wZOzIkhGV9&amp;t=5977</t>
  </si>
  <si>
    <t>https://youtu.be/2D5lEOehYvU?si=A0ga6fBHD9C4gRdA&amp;t=7658</t>
  </si>
  <si>
    <t>https://youtu.be/2D5lEOehYvU?si=oT_5_mopskvS441f&amp;t=8453</t>
  </si>
  <si>
    <t>2026.06.04</t>
    <phoneticPr fontId="2" type="noConversion"/>
  </si>
  <si>
    <t>연합팀</t>
    <phoneticPr fontId="2" type="noConversion"/>
  </si>
  <si>
    <t>찌킹</t>
    <phoneticPr fontId="2" type="noConversion"/>
  </si>
  <si>
    <t>지두두</t>
    <phoneticPr fontId="2" type="noConversion"/>
  </si>
  <si>
    <t>링고</t>
    <phoneticPr fontId="2" type="noConversion"/>
  </si>
  <si>
    <t>선정은</t>
    <phoneticPr fontId="2" type="noConversion"/>
  </si>
  <si>
    <t>라미</t>
    <phoneticPr fontId="2" type="noConversion"/>
  </si>
  <si>
    <t>루다</t>
    <phoneticPr fontId="2" type="noConversion"/>
  </si>
  <si>
    <t>2024.11.13</t>
    <phoneticPr fontId="2" type="noConversion"/>
  </si>
  <si>
    <t>https://youtu.be/j9g2AtRFH7w?si=6eeD2hqWdrK7OiPW&amp;t=2106</t>
  </si>
  <si>
    <t>https://youtu.be/j9g2AtRFH7w?si=bbeiLO_a1-aBce3G&amp;t=4195</t>
  </si>
  <si>
    <t>https://youtu.be/j9g2AtRFH7w?si=RpqFO8E_DdqSk1NA&amp;t=5694</t>
  </si>
  <si>
    <t>https://youtu.be/j9g2AtRFH7w?si=luFRAbB1iXIn0BgN&amp;t=6634</t>
  </si>
  <si>
    <t>https://youtu.be/j9g2AtRFH7w?si=JJtMwKaM-xJU5ZoC&amp;t=8159</t>
  </si>
  <si>
    <t>https://youtu.be/j9g2AtRFH7w?si=nbdtI1EboT8TkFGR&amp;t=9158</t>
  </si>
  <si>
    <t>https://youtu.be/j9g2AtRFH7w?si=oR7ktntRSQRBlY2B&amp;t=10576</t>
  </si>
  <si>
    <t>https://youtu.be/j9g2AtRFH7w?si=c3krjSw8v7BmFvYO&amp;t=10910</t>
  </si>
  <si>
    <t>https://youtu.be/j9g2AtRFH7w?si=BQS9RU0d0vDfCzG-&amp;t=11653</t>
  </si>
  <si>
    <t>https://youtu.be/j9g2AtRFH7w?si=3_fBRbmvQ5pvluVN&amp;t=13526</t>
  </si>
  <si>
    <t>https://youtu.be/9f-g3d_VeBM?si=TKzuUzlIfQ56LWBP&amp;t=3065</t>
  </si>
  <si>
    <t>https://youtu.be/9f-g3d_VeBM?si=7GhBTdhvgFgbFvpF&amp;t=4527</t>
  </si>
  <si>
    <t>https://youtu.be/9f-g3d_VeBM?si=RCX9g9Z_2Y7NKQD-&amp;t=5900</t>
  </si>
  <si>
    <t>https://youtu.be/9f-g3d_VeBM?si=51OO5Pp4wyk7ECSX&amp;t=8651</t>
  </si>
  <si>
    <t>https://youtu.be/9f-g3d_VeBM?si=BS3Knp12dgDGmJUn&amp;t=6661</t>
  </si>
  <si>
    <t>https://youtu.be/9f-g3d_VeBM?si=G1dVxx7aLRyMZdKx&amp;t=10048</t>
  </si>
  <si>
    <t>https://youtu.be/9f-g3d_VeBM?si=F5zoVJ2aF7Hr99ds&amp;t=9331</t>
  </si>
  <si>
    <t>https://youtu.be/9f-g3d_VeBM?si=L7L9nfnsaT1HVtFB&amp;t=11885</t>
  </si>
  <si>
    <t>https://youtu.be/RK1lTq10Gt8?si=phkKINFFDDvkUTbo&amp;t=854</t>
  </si>
  <si>
    <t>https://youtu.be/RK1lTq10Gt8?si=S-l_24TcM9-AgdCS&amp;t=1517</t>
  </si>
  <si>
    <t>https://youtu.be/RK1lTq10Gt8?si=T-RQL_z--Y7NfHRP&amp;t=2559</t>
  </si>
  <si>
    <t>https://youtu.be/RK1lTq10Gt8?si=eVr24rwgwrD_eqcH&amp;t=3454</t>
  </si>
  <si>
    <t>https://youtu.be/RK1lTq10Gt8?si=8QMQIUJaYTm6Y9YV&amp;t=4600</t>
  </si>
  <si>
    <t>https://youtu.be/RK1lTq10Gt8?si=oRym23QQQPWbmM7P&amp;t=5908</t>
  </si>
  <si>
    <t>https://youtu.be/RK1lTq10Gt8?si=dujDGNAVoSko1LGE&amp;t=7215</t>
  </si>
  <si>
    <t>https://youtu.be/RK1lTq10Gt8?si=s3-OcbqTludpM0-J&amp;t=8215</t>
  </si>
  <si>
    <t>https://youtu.be/5lkZ8melHzM?si=9S3RPYxSqzZDo5qW&amp;t=2726</t>
  </si>
  <si>
    <t>https://youtu.be/5lkZ8melHzM?si=LxZGDxX5E3O6pQgz&amp;t=3467</t>
  </si>
  <si>
    <t>https://youtu.be/5lkZ8melHzM?si=ChNunKf5QTxJZWxf&amp;t=6671</t>
  </si>
  <si>
    <t>https://youtu.be/5lkZ8melHzM?si=mSm7DAMac8P9RwRv&amp;t=4185</t>
  </si>
  <si>
    <t>https://youtu.be/5lkZ8melHzM?si=D1BKhtnS3kSV4iP3&amp;t=7626</t>
  </si>
  <si>
    <t>https://youtu.be/5lkZ8melHzM?si=EeP6JoQZUbkDpdMg&amp;t=8629</t>
  </si>
  <si>
    <t>https://youtu.be/5lkZ8melHzM?si=doYRdblT35BLv4Vu&amp;t=10501</t>
  </si>
  <si>
    <t>https://youtu.be/5lkZ8melHzM?si=7u_TRgevZ10N9kbW&amp;t=13116</t>
  </si>
  <si>
    <t>https://youtu.be/EyTeL6scm8I?si=hcCpFTowhoc-Mpfn&amp;t=2762</t>
  </si>
  <si>
    <t>https://youtu.be/EyTeL6scm8I?si=bUusOPYq27AGiO4A&amp;t=5054</t>
  </si>
  <si>
    <t>https://youtu.be/EyTeL6scm8I?si=_pcFBi0hjwTzZ3I7&amp;t=5812</t>
  </si>
  <si>
    <t>https://youtu.be/EyTeL6scm8I?si=C7vHGvm8QCike1fc&amp;t=8041</t>
  </si>
  <si>
    <t>https://youtu.be/EyTeL6scm8I?si=iXlWiiH0EsO4iCJi&amp;t=8951</t>
  </si>
  <si>
    <t>https://youtu.be/EyTeL6scm8I?si=6AUhFBXN3kuXPtdf&amp;t=10282</t>
  </si>
  <si>
    <t>https://youtu.be/EyTeL6scm8I?si=O7XFiBnq8JkAiNvn&amp;t=11320</t>
  </si>
  <si>
    <t>https://youtu.be/EyTeL6scm8I?si=oaTmY8STZfDG8ZJ0&amp;t=12634</t>
  </si>
  <si>
    <t>https://youtu.be/p0gUxmnSZwQ?si=YXJdykBZAp6HoLM_&amp;t=1865</t>
  </si>
  <si>
    <t>https://youtu.be/p0gUxmnSZwQ?si=lT5Z4Edeq3wMggbb&amp;t=2884</t>
  </si>
  <si>
    <t>https://youtu.be/p0gUxmnSZwQ?si=jnIeZLfCDKg3DAKl&amp;t=3456</t>
  </si>
  <si>
    <t>https://youtu.be/p0gUxmnSZwQ?si=l7tbtzV9rb1y4dz6&amp;t=5207</t>
  </si>
  <si>
    <t>https://youtu.be/p0gUxmnSZwQ?si=ENBwgWJhQm0tGHYh&amp;t=6400</t>
  </si>
  <si>
    <t>https://youtu.be/p0gUxmnSZwQ?si=JT-Sixg2guAsKPQ-&amp;t=7421</t>
  </si>
  <si>
    <t>https://youtu.be/p0gUxmnSZwQ?si=m04fKVwKyj99i0rq&amp;t=8698</t>
  </si>
  <si>
    <t>https://youtu.be/7PX6Vxch1I8?si=F9x_uM26ibaGTOYQ&amp;t=475</t>
  </si>
  <si>
    <t>https://youtu.be/7PX6Vxch1I8?si=ne0iHpgR2ik4SMYG&amp;t=2161</t>
  </si>
  <si>
    <t>https://youtu.be/7PX6Vxch1I8?si=FGa5uflpEp59EFAu&amp;t=3064</t>
  </si>
  <si>
    <t>https://youtu.be/7PX6Vxch1I8?si=gSEi29r7PNW2GRdb&amp;t=3469</t>
  </si>
  <si>
    <t>https://youtu.be/7PX6Vxch1I8?si=j0GMO_J94aljA4LT&amp;t=4166</t>
  </si>
  <si>
    <t>https://youtu.be/7PX6Vxch1I8?si=t7eHBgl54g-spmJU&amp;t=5094</t>
  </si>
  <si>
    <t>https://youtu.be/7PX6Vxch1I8?si=BlMPSzyv3yCHGI3r&amp;t=5483</t>
  </si>
  <si>
    <t>https://youtu.be/7PX6Vxch1I8?si=zy-Te4XjUzwkVJX4&amp;t=6689</t>
  </si>
  <si>
    <t>https://youtu.be/7PX6Vxch1I8?si=89Xcnkv_hbNpFGas&amp;t=8398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</si>
</sst>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1" applyFont="1">
      <alignment vertical="center"/>
    </xf>
    <xf numFmtId="41" fontId="0" fillId="0" borderId="0" xfId="2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BE45-9F1A-41AD-B87B-A1A571694506}">
  <dimension ref="A1:R1225"/>
  <sheetViews>
    <sheetView tabSelected="1" topLeftCell="C979" workbookViewId="0">
      <selection activeCell="O990" sqref="O990"/>
    </sheetView>
  </sheetViews>
  <sheetFormatPr defaultRowHeight="16.899999999999999" x14ac:dyDescent="0.6"/>
  <cols>
    <col min="1" max="1" width="10.1875" bestFit="1" customWidth="1"/>
    <col min="3" max="3" width="11.5625" bestFit="1" customWidth="1"/>
    <col min="4" max="4" width="11.5625" customWidth="1"/>
    <col min="5" max="5" width="12" customWidth="1"/>
    <col min="6" max="6" width="13.875" customWidth="1"/>
    <col min="8" max="8" width="14.1875" bestFit="1" customWidth="1"/>
    <col min="9" max="9" width="14.1875" style="2" customWidth="1"/>
    <col min="15" max="15" width="63.8125" bestFit="1" customWidth="1"/>
    <col min="16" max="16" width="21.375" customWidth="1"/>
  </cols>
  <sheetData>
    <row r="1" spans="1:18" x14ac:dyDescent="0.6">
      <c r="A1" t="s">
        <v>1</v>
      </c>
      <c r="B1" t="s">
        <v>0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45</v>
      </c>
      <c r="I1" s="2" t="s">
        <v>118</v>
      </c>
      <c r="J1" t="s">
        <v>31</v>
      </c>
      <c r="K1" t="s">
        <v>13</v>
      </c>
      <c r="L1" t="s">
        <v>429</v>
      </c>
      <c r="M1" t="s">
        <v>14</v>
      </c>
      <c r="N1" t="s">
        <v>15</v>
      </c>
      <c r="O1" s="5" t="s">
        <v>428</v>
      </c>
      <c r="P1" t="s">
        <v>459</v>
      </c>
      <c r="Q1" t="s">
        <v>457</v>
      </c>
      <c r="R1" t="s">
        <v>458</v>
      </c>
    </row>
    <row r="2" spans="1:18" x14ac:dyDescent="0.6">
      <c r="A2" t="s">
        <v>6</v>
      </c>
      <c r="B2" t="s">
        <v>7</v>
      </c>
      <c r="C2" t="s">
        <v>170</v>
      </c>
      <c r="D2" t="str">
        <f>IF(E2&gt;F2,"승",IF(E2&lt;F2,"패"))</f>
        <v>승</v>
      </c>
      <c r="E2">
        <f>COUNTIF(M2:M6,"승")</f>
        <v>4</v>
      </c>
      <c r="F2">
        <f>COUNTIF(M2:M6,"패")</f>
        <v>1</v>
      </c>
      <c r="G2" s="1">
        <f>E2/(E2+F2)</f>
        <v>0.8</v>
      </c>
      <c r="H2" s="1"/>
      <c r="I2" s="2">
        <v>1</v>
      </c>
      <c r="J2" t="s">
        <v>559</v>
      </c>
      <c r="K2" t="s">
        <v>8</v>
      </c>
      <c r="L2" t="str">
        <f>INDEX($R$2:$R$99,MATCH(K2,$Q$2:$Q$99,0))</f>
        <v>P</v>
      </c>
      <c r="M2" t="s">
        <v>3</v>
      </c>
      <c r="N2" t="s">
        <v>9</v>
      </c>
      <c r="O2" t="s">
        <v>776</v>
      </c>
      <c r="P2" t="s">
        <v>463</v>
      </c>
      <c r="Q2" t="s">
        <v>8</v>
      </c>
      <c r="R2" t="s">
        <v>430</v>
      </c>
    </row>
    <row r="3" spans="1:18" x14ac:dyDescent="0.6">
      <c r="I3" s="2">
        <v>2</v>
      </c>
      <c r="J3">
        <v>2</v>
      </c>
      <c r="K3" t="s">
        <v>10</v>
      </c>
      <c r="L3" t="str">
        <f t="shared" ref="L3:L66" si="0">INDEX($R$2:$R$99,MATCH(K3,$Q$2:$Q$99,0))</f>
        <v>Z</v>
      </c>
      <c r="M3" t="s">
        <v>3</v>
      </c>
      <c r="N3" t="s">
        <v>11</v>
      </c>
      <c r="O3" t="s">
        <v>774</v>
      </c>
      <c r="P3" t="s">
        <v>464</v>
      </c>
      <c r="Q3" t="s">
        <v>10</v>
      </c>
      <c r="R3" t="s">
        <v>431</v>
      </c>
    </row>
    <row r="4" spans="1:18" x14ac:dyDescent="0.6">
      <c r="I4" s="2">
        <v>3</v>
      </c>
      <c r="J4">
        <v>3</v>
      </c>
      <c r="K4" t="s">
        <v>16</v>
      </c>
      <c r="L4" t="str">
        <f t="shared" si="0"/>
        <v>T</v>
      </c>
      <c r="M4" t="s">
        <v>4</v>
      </c>
      <c r="N4" t="s">
        <v>12</v>
      </c>
      <c r="O4" t="s">
        <v>775</v>
      </c>
      <c r="P4" t="s">
        <v>447</v>
      </c>
      <c r="Q4" t="s">
        <v>16</v>
      </c>
      <c r="R4" t="s">
        <v>432</v>
      </c>
    </row>
    <row r="5" spans="1:18" x14ac:dyDescent="0.6">
      <c r="I5" s="2">
        <v>4</v>
      </c>
      <c r="J5">
        <v>4</v>
      </c>
      <c r="K5" t="s">
        <v>17</v>
      </c>
      <c r="L5" t="str">
        <f t="shared" si="0"/>
        <v>T</v>
      </c>
      <c r="M5" t="s">
        <v>3</v>
      </c>
      <c r="N5" t="s">
        <v>20</v>
      </c>
      <c r="O5" t="s">
        <v>777</v>
      </c>
      <c r="P5" t="s">
        <v>465</v>
      </c>
      <c r="Q5" t="s">
        <v>17</v>
      </c>
      <c r="R5" t="s">
        <v>432</v>
      </c>
    </row>
    <row r="6" spans="1:18" x14ac:dyDescent="0.6">
      <c r="I6" s="2">
        <v>5</v>
      </c>
      <c r="J6">
        <v>5</v>
      </c>
      <c r="K6" t="s">
        <v>18</v>
      </c>
      <c r="L6" t="str">
        <f t="shared" si="0"/>
        <v>Z</v>
      </c>
      <c r="M6" t="s">
        <v>3</v>
      </c>
      <c r="N6" t="s">
        <v>21</v>
      </c>
      <c r="O6" t="s">
        <v>778</v>
      </c>
      <c r="P6" t="s">
        <v>448</v>
      </c>
      <c r="Q6" t="s">
        <v>18</v>
      </c>
      <c r="R6" t="s">
        <v>431</v>
      </c>
    </row>
    <row r="7" spans="1:18" x14ac:dyDescent="0.6">
      <c r="A7" t="s">
        <v>22</v>
      </c>
      <c r="B7" t="s">
        <v>23</v>
      </c>
      <c r="C7" t="s">
        <v>170</v>
      </c>
      <c r="D7" t="str">
        <f>IF(E7&gt;F7,"승",IF(E7&lt;F7,"패"))</f>
        <v>패</v>
      </c>
      <c r="E7">
        <f>COUNTIF(M7:M10,"승")</f>
        <v>0</v>
      </c>
      <c r="F7">
        <f>COUNTIF(M7:M10,"패")</f>
        <v>4</v>
      </c>
      <c r="G7" s="1">
        <f>E7/(E7+F7)</f>
        <v>0</v>
      </c>
      <c r="H7" s="1"/>
      <c r="I7" s="2">
        <v>1</v>
      </c>
      <c r="J7" t="s">
        <v>559</v>
      </c>
      <c r="K7" t="s">
        <v>24</v>
      </c>
      <c r="L7" t="str">
        <f t="shared" si="0"/>
        <v>T</v>
      </c>
      <c r="M7" t="s">
        <v>4</v>
      </c>
      <c r="N7" t="s">
        <v>27</v>
      </c>
      <c r="P7" t="s">
        <v>449</v>
      </c>
      <c r="Q7" t="s">
        <v>24</v>
      </c>
      <c r="R7" t="s">
        <v>432</v>
      </c>
    </row>
    <row r="8" spans="1:18" x14ac:dyDescent="0.6">
      <c r="I8" s="2">
        <v>2</v>
      </c>
      <c r="J8">
        <v>2</v>
      </c>
      <c r="K8" t="s">
        <v>17</v>
      </c>
      <c r="L8" t="str">
        <f t="shared" si="0"/>
        <v>T</v>
      </c>
      <c r="M8" t="s">
        <v>4</v>
      </c>
      <c r="N8" t="s">
        <v>28</v>
      </c>
      <c r="P8" t="s">
        <v>466</v>
      </c>
      <c r="Q8" t="s">
        <v>35</v>
      </c>
      <c r="R8" t="s">
        <v>431</v>
      </c>
    </row>
    <row r="9" spans="1:18" x14ac:dyDescent="0.6">
      <c r="I9" s="2">
        <v>3</v>
      </c>
      <c r="J9">
        <v>3</v>
      </c>
      <c r="K9" t="s">
        <v>25</v>
      </c>
      <c r="L9" t="str">
        <f t="shared" si="0"/>
        <v>T</v>
      </c>
      <c r="M9" t="s">
        <v>4</v>
      </c>
      <c r="N9" t="s">
        <v>29</v>
      </c>
      <c r="P9" t="s">
        <v>467</v>
      </c>
      <c r="Q9" t="s">
        <v>25</v>
      </c>
      <c r="R9" t="s">
        <v>432</v>
      </c>
    </row>
    <row r="10" spans="1:18" x14ac:dyDescent="0.6">
      <c r="I10" s="2">
        <v>4</v>
      </c>
      <c r="J10">
        <v>4</v>
      </c>
      <c r="K10" t="s">
        <v>26</v>
      </c>
      <c r="L10" t="str">
        <f t="shared" si="0"/>
        <v>T</v>
      </c>
      <c r="M10" t="s">
        <v>4</v>
      </c>
      <c r="N10" t="s">
        <v>30</v>
      </c>
      <c r="P10" t="s">
        <v>468</v>
      </c>
      <c r="Q10" t="s">
        <v>26</v>
      </c>
      <c r="R10" t="s">
        <v>432</v>
      </c>
    </row>
    <row r="11" spans="1:18" x14ac:dyDescent="0.6">
      <c r="A11" t="s">
        <v>22</v>
      </c>
      <c r="B11" t="s">
        <v>23</v>
      </c>
      <c r="C11" t="s">
        <v>170</v>
      </c>
      <c r="D11" t="str">
        <f>IF(E11&gt;F11,"승",IF(E11&lt;F11,"패"))</f>
        <v>패</v>
      </c>
      <c r="E11">
        <f>COUNTIF(M11:M17,"승")</f>
        <v>3</v>
      </c>
      <c r="F11">
        <f>COUNTIF(M11:M17,"패")</f>
        <v>4</v>
      </c>
      <c r="G11" s="1">
        <f>E11/(E11+F11)</f>
        <v>0.42857142857142855</v>
      </c>
      <c r="H11" s="1"/>
      <c r="I11" s="2">
        <v>1</v>
      </c>
      <c r="J11" t="s">
        <v>559</v>
      </c>
      <c r="K11" t="s">
        <v>17</v>
      </c>
      <c r="L11" t="str">
        <f t="shared" si="0"/>
        <v>T</v>
      </c>
      <c r="M11" t="s">
        <v>3</v>
      </c>
      <c r="N11" t="s">
        <v>28</v>
      </c>
      <c r="P11" t="s">
        <v>469</v>
      </c>
      <c r="Q11" t="s">
        <v>36</v>
      </c>
      <c r="R11" t="s">
        <v>431</v>
      </c>
    </row>
    <row r="12" spans="1:18" x14ac:dyDescent="0.6">
      <c r="I12" s="2">
        <v>2</v>
      </c>
      <c r="J12">
        <v>2</v>
      </c>
      <c r="K12" t="s">
        <v>26</v>
      </c>
      <c r="L12" t="str">
        <f t="shared" si="0"/>
        <v>T</v>
      </c>
      <c r="M12" t="s">
        <v>3</v>
      </c>
      <c r="N12" t="s">
        <v>30</v>
      </c>
      <c r="P12" t="s">
        <v>470</v>
      </c>
      <c r="Q12" t="s">
        <v>37</v>
      </c>
      <c r="R12" t="s">
        <v>431</v>
      </c>
    </row>
    <row r="13" spans="1:18" x14ac:dyDescent="0.6">
      <c r="I13" s="2">
        <v>3</v>
      </c>
      <c r="J13">
        <v>3</v>
      </c>
      <c r="K13" t="s">
        <v>24</v>
      </c>
      <c r="L13" t="str">
        <f t="shared" si="0"/>
        <v>T</v>
      </c>
      <c r="M13" t="s">
        <v>3</v>
      </c>
      <c r="N13" t="s">
        <v>27</v>
      </c>
      <c r="P13" t="s">
        <v>471</v>
      </c>
      <c r="Q13" t="s">
        <v>38</v>
      </c>
      <c r="R13" t="s">
        <v>431</v>
      </c>
    </row>
    <row r="14" spans="1:18" x14ac:dyDescent="0.6">
      <c r="I14" s="2">
        <v>4</v>
      </c>
      <c r="J14">
        <v>4</v>
      </c>
      <c r="K14" t="s">
        <v>25</v>
      </c>
      <c r="L14" t="str">
        <f t="shared" si="0"/>
        <v>T</v>
      </c>
      <c r="M14" t="s">
        <v>4</v>
      </c>
      <c r="N14" t="s">
        <v>29</v>
      </c>
      <c r="P14" t="s">
        <v>472</v>
      </c>
      <c r="Q14" t="s">
        <v>39</v>
      </c>
      <c r="R14" t="s">
        <v>431</v>
      </c>
    </row>
    <row r="15" spans="1:18" x14ac:dyDescent="0.6">
      <c r="I15" s="2">
        <v>5</v>
      </c>
      <c r="J15">
        <v>5</v>
      </c>
      <c r="K15" t="s">
        <v>16</v>
      </c>
      <c r="L15" t="str">
        <f t="shared" si="0"/>
        <v>T</v>
      </c>
      <c r="M15" t="s">
        <v>4</v>
      </c>
      <c r="N15" t="s">
        <v>32</v>
      </c>
      <c r="P15" t="s">
        <v>460</v>
      </c>
      <c r="Q15" t="s">
        <v>49</v>
      </c>
      <c r="R15" t="s">
        <v>430</v>
      </c>
    </row>
    <row r="16" spans="1:18" x14ac:dyDescent="0.6">
      <c r="I16" s="2">
        <v>6</v>
      </c>
      <c r="J16">
        <v>6</v>
      </c>
      <c r="K16" t="s">
        <v>17</v>
      </c>
      <c r="L16" t="str">
        <f t="shared" si="0"/>
        <v>T</v>
      </c>
      <c r="M16" t="s">
        <v>4</v>
      </c>
      <c r="N16" t="s">
        <v>28</v>
      </c>
      <c r="P16" t="s">
        <v>461</v>
      </c>
      <c r="Q16" t="s">
        <v>19</v>
      </c>
      <c r="R16" t="s">
        <v>430</v>
      </c>
    </row>
    <row r="17" spans="1:18" x14ac:dyDescent="0.6">
      <c r="I17" s="2">
        <v>7</v>
      </c>
      <c r="J17">
        <v>7</v>
      </c>
      <c r="K17" t="s">
        <v>17</v>
      </c>
      <c r="L17" t="str">
        <f t="shared" si="0"/>
        <v>T</v>
      </c>
      <c r="M17" t="s">
        <v>4</v>
      </c>
      <c r="N17" t="s">
        <v>28</v>
      </c>
      <c r="P17" t="s">
        <v>462</v>
      </c>
      <c r="Q17" t="s">
        <v>50</v>
      </c>
      <c r="R17" t="s">
        <v>430</v>
      </c>
    </row>
    <row r="18" spans="1:18" x14ac:dyDescent="0.6">
      <c r="A18" t="s">
        <v>34</v>
      </c>
      <c r="B18" t="s">
        <v>23</v>
      </c>
      <c r="C18" t="s">
        <v>170</v>
      </c>
      <c r="D18" t="str">
        <f>IF(E18&gt;F18,"승",IF(E18&lt;F18,"패"))</f>
        <v>승</v>
      </c>
      <c r="E18">
        <f>COUNTIF(M18:M24,"승")</f>
        <v>6</v>
      </c>
      <c r="F18">
        <f>COUNTIF(M18:M24,"패")</f>
        <v>1</v>
      </c>
      <c r="G18" s="1">
        <f>E18/(E18+F18)</f>
        <v>0.8571428571428571</v>
      </c>
      <c r="H18" s="1" t="s">
        <v>46</v>
      </c>
      <c r="I18" s="2">
        <v>1</v>
      </c>
      <c r="J18" t="s">
        <v>559</v>
      </c>
      <c r="K18" t="s">
        <v>35</v>
      </c>
      <c r="L18" t="str">
        <f t="shared" si="0"/>
        <v>Z</v>
      </c>
      <c r="M18" t="s">
        <v>3</v>
      </c>
      <c r="N18" t="s">
        <v>40</v>
      </c>
      <c r="O18" t="s">
        <v>779</v>
      </c>
      <c r="P18" t="s">
        <v>473</v>
      </c>
      <c r="Q18" t="s">
        <v>433</v>
      </c>
      <c r="R18" t="s">
        <v>430</v>
      </c>
    </row>
    <row r="19" spans="1:18" x14ac:dyDescent="0.6">
      <c r="I19" s="2">
        <v>2</v>
      </c>
      <c r="J19">
        <v>2</v>
      </c>
      <c r="K19" t="s">
        <v>36</v>
      </c>
      <c r="L19" t="str">
        <f t="shared" si="0"/>
        <v>Z</v>
      </c>
      <c r="M19" t="s">
        <v>3</v>
      </c>
      <c r="N19" t="s">
        <v>41</v>
      </c>
      <c r="O19" t="s">
        <v>780</v>
      </c>
      <c r="P19" t="s">
        <v>474</v>
      </c>
      <c r="Q19" t="s">
        <v>434</v>
      </c>
      <c r="R19" t="s">
        <v>430</v>
      </c>
    </row>
    <row r="20" spans="1:18" x14ac:dyDescent="0.6">
      <c r="I20" s="2">
        <v>3</v>
      </c>
      <c r="J20">
        <v>3</v>
      </c>
      <c r="K20" t="s">
        <v>37</v>
      </c>
      <c r="L20" t="str">
        <f t="shared" si="0"/>
        <v>Z</v>
      </c>
      <c r="M20" t="s">
        <v>3</v>
      </c>
      <c r="N20" t="s">
        <v>42</v>
      </c>
      <c r="O20" t="s">
        <v>781</v>
      </c>
      <c r="P20" t="s">
        <v>433</v>
      </c>
      <c r="Q20" t="s">
        <v>435</v>
      </c>
      <c r="R20" t="s">
        <v>430</v>
      </c>
    </row>
    <row r="21" spans="1:18" x14ac:dyDescent="0.6">
      <c r="I21" s="2">
        <v>4</v>
      </c>
      <c r="J21" t="s">
        <v>559</v>
      </c>
      <c r="K21" t="s">
        <v>38</v>
      </c>
      <c r="L21" t="str">
        <f t="shared" si="0"/>
        <v>Z</v>
      </c>
      <c r="M21" t="s">
        <v>4</v>
      </c>
      <c r="N21" t="s">
        <v>43</v>
      </c>
      <c r="O21" t="s">
        <v>782</v>
      </c>
      <c r="P21" t="s">
        <v>475</v>
      </c>
      <c r="Q21" t="s">
        <v>436</v>
      </c>
      <c r="R21" t="s">
        <v>432</v>
      </c>
    </row>
    <row r="22" spans="1:18" x14ac:dyDescent="0.6">
      <c r="I22" s="2">
        <v>5</v>
      </c>
      <c r="J22">
        <v>2</v>
      </c>
      <c r="K22" t="s">
        <v>39</v>
      </c>
      <c r="L22" t="str">
        <f t="shared" si="0"/>
        <v>Z</v>
      </c>
      <c r="M22" t="s">
        <v>3</v>
      </c>
      <c r="N22" t="s">
        <v>44</v>
      </c>
      <c r="O22" t="s">
        <v>783</v>
      </c>
      <c r="P22" t="s">
        <v>435</v>
      </c>
      <c r="Q22" t="s">
        <v>437</v>
      </c>
      <c r="R22" t="s">
        <v>431</v>
      </c>
    </row>
    <row r="23" spans="1:18" x14ac:dyDescent="0.6">
      <c r="I23" s="2">
        <v>6</v>
      </c>
      <c r="J23">
        <v>3</v>
      </c>
      <c r="K23" t="s">
        <v>37</v>
      </c>
      <c r="L23" t="str">
        <f t="shared" si="0"/>
        <v>Z</v>
      </c>
      <c r="M23" t="s">
        <v>3</v>
      </c>
      <c r="N23" t="s">
        <v>42</v>
      </c>
      <c r="O23" t="s">
        <v>784</v>
      </c>
      <c r="P23" t="s">
        <v>439</v>
      </c>
      <c r="Q23" t="s">
        <v>438</v>
      </c>
      <c r="R23" t="s">
        <v>430</v>
      </c>
    </row>
    <row r="24" spans="1:18" x14ac:dyDescent="0.6">
      <c r="I24" s="2">
        <v>7</v>
      </c>
      <c r="J24">
        <v>4</v>
      </c>
      <c r="K24" t="s">
        <v>36</v>
      </c>
      <c r="L24" t="str">
        <f t="shared" si="0"/>
        <v>Z</v>
      </c>
      <c r="M24" t="s">
        <v>3</v>
      </c>
      <c r="N24" t="s">
        <v>41</v>
      </c>
      <c r="O24" t="s">
        <v>785</v>
      </c>
      <c r="P24" t="s">
        <v>438</v>
      </c>
      <c r="Q24" t="s">
        <v>439</v>
      </c>
      <c r="R24" t="s">
        <v>430</v>
      </c>
    </row>
    <row r="25" spans="1:18" x14ac:dyDescent="0.6">
      <c r="A25" t="s">
        <v>48</v>
      </c>
      <c r="C25" t="s">
        <v>47</v>
      </c>
      <c r="D25" t="str">
        <f>IF(E25&gt;F25,"승",IF(E25&lt;F25,"패"))</f>
        <v>승</v>
      </c>
      <c r="E25">
        <f>COUNTIF(M25:M33,"승")</f>
        <v>7</v>
      </c>
      <c r="F25">
        <f>COUNTA(M25:M33)-E25</f>
        <v>2</v>
      </c>
      <c r="G25" s="1">
        <f>E25/(E25+F25)</f>
        <v>0.77777777777777779</v>
      </c>
      <c r="I25" s="2">
        <v>1</v>
      </c>
      <c r="J25" t="s">
        <v>559</v>
      </c>
      <c r="K25" t="s">
        <v>49</v>
      </c>
      <c r="L25" t="str">
        <f t="shared" si="0"/>
        <v>P</v>
      </c>
      <c r="M25" t="s">
        <v>3</v>
      </c>
      <c r="N25" t="s">
        <v>51</v>
      </c>
      <c r="P25" t="s">
        <v>440</v>
      </c>
      <c r="Q25" t="s">
        <v>440</v>
      </c>
      <c r="R25" t="s">
        <v>431</v>
      </c>
    </row>
    <row r="26" spans="1:18" x14ac:dyDescent="0.6">
      <c r="I26" s="2">
        <v>2</v>
      </c>
      <c r="J26">
        <v>2</v>
      </c>
      <c r="K26" t="s">
        <v>19</v>
      </c>
      <c r="L26" t="str">
        <f t="shared" si="0"/>
        <v>P</v>
      </c>
      <c r="M26" t="s">
        <v>3</v>
      </c>
      <c r="N26" t="s">
        <v>52</v>
      </c>
      <c r="P26" t="s">
        <v>442</v>
      </c>
      <c r="Q26" t="s">
        <v>441</v>
      </c>
      <c r="R26" t="s">
        <v>430</v>
      </c>
    </row>
    <row r="27" spans="1:18" x14ac:dyDescent="0.6">
      <c r="I27" s="2">
        <v>3</v>
      </c>
      <c r="J27">
        <v>3</v>
      </c>
      <c r="K27" t="s">
        <v>50</v>
      </c>
      <c r="L27" t="str">
        <f t="shared" si="0"/>
        <v>P</v>
      </c>
      <c r="M27" t="s">
        <v>4</v>
      </c>
      <c r="N27" t="s">
        <v>53</v>
      </c>
      <c r="P27" t="s">
        <v>444</v>
      </c>
      <c r="Q27" t="s">
        <v>442</v>
      </c>
      <c r="R27" t="s">
        <v>430</v>
      </c>
    </row>
    <row r="28" spans="1:18" x14ac:dyDescent="0.6">
      <c r="I28" s="2">
        <v>4</v>
      </c>
      <c r="J28">
        <v>4</v>
      </c>
      <c r="K28" t="s">
        <v>49</v>
      </c>
      <c r="L28" t="str">
        <f t="shared" si="0"/>
        <v>P</v>
      </c>
      <c r="M28" t="s">
        <v>3</v>
      </c>
      <c r="N28" t="s">
        <v>51</v>
      </c>
      <c r="P28" t="s">
        <v>446</v>
      </c>
      <c r="Q28" t="s">
        <v>443</v>
      </c>
      <c r="R28" t="s">
        <v>432</v>
      </c>
    </row>
    <row r="29" spans="1:18" x14ac:dyDescent="0.6">
      <c r="I29" s="2">
        <v>5</v>
      </c>
      <c r="J29">
        <v>5</v>
      </c>
      <c r="K29" t="s">
        <v>19</v>
      </c>
      <c r="L29" t="str">
        <f t="shared" si="0"/>
        <v>P</v>
      </c>
      <c r="M29" t="s">
        <v>3</v>
      </c>
      <c r="N29" t="s">
        <v>52</v>
      </c>
      <c r="P29" t="s">
        <v>445</v>
      </c>
      <c r="Q29" t="s">
        <v>444</v>
      </c>
      <c r="R29" t="s">
        <v>430</v>
      </c>
    </row>
    <row r="30" spans="1:18" x14ac:dyDescent="0.6">
      <c r="I30" s="2">
        <v>6</v>
      </c>
      <c r="J30">
        <v>6</v>
      </c>
      <c r="K30" t="s">
        <v>50</v>
      </c>
      <c r="L30" t="str">
        <f t="shared" si="0"/>
        <v>P</v>
      </c>
      <c r="M30" t="s">
        <v>3</v>
      </c>
      <c r="N30" t="s">
        <v>53</v>
      </c>
      <c r="P30" t="s">
        <v>443</v>
      </c>
      <c r="Q30" t="s">
        <v>445</v>
      </c>
      <c r="R30" t="s">
        <v>432</v>
      </c>
    </row>
    <row r="31" spans="1:18" x14ac:dyDescent="0.6">
      <c r="I31" s="2">
        <v>7</v>
      </c>
      <c r="J31">
        <v>7</v>
      </c>
      <c r="K31" t="s">
        <v>49</v>
      </c>
      <c r="L31" t="str">
        <f t="shared" si="0"/>
        <v>P</v>
      </c>
      <c r="M31" t="s">
        <v>4</v>
      </c>
      <c r="N31" t="s">
        <v>51</v>
      </c>
      <c r="P31" t="s">
        <v>434</v>
      </c>
      <c r="Q31" t="s">
        <v>446</v>
      </c>
      <c r="R31" t="s">
        <v>432</v>
      </c>
    </row>
    <row r="32" spans="1:18" x14ac:dyDescent="0.6">
      <c r="I32" s="2">
        <v>8</v>
      </c>
      <c r="J32">
        <v>8</v>
      </c>
      <c r="K32" t="s">
        <v>50</v>
      </c>
      <c r="L32" t="str">
        <f t="shared" si="0"/>
        <v>P</v>
      </c>
      <c r="M32" t="s">
        <v>3</v>
      </c>
      <c r="N32" t="s">
        <v>53</v>
      </c>
      <c r="P32" t="s">
        <v>453</v>
      </c>
      <c r="Q32" t="s">
        <v>447</v>
      </c>
      <c r="R32" t="s">
        <v>431</v>
      </c>
    </row>
    <row r="33" spans="1:18" x14ac:dyDescent="0.6">
      <c r="I33" s="2">
        <v>9</v>
      </c>
      <c r="J33" t="s">
        <v>562</v>
      </c>
      <c r="K33" t="s">
        <v>19</v>
      </c>
      <c r="L33" t="str">
        <f t="shared" si="0"/>
        <v>P</v>
      </c>
      <c r="M33" t="s">
        <v>3</v>
      </c>
      <c r="N33" t="s">
        <v>52</v>
      </c>
      <c r="P33" t="s">
        <v>452</v>
      </c>
      <c r="Q33" t="s">
        <v>448</v>
      </c>
      <c r="R33" t="s">
        <v>430</v>
      </c>
    </row>
    <row r="34" spans="1:18" x14ac:dyDescent="0.6">
      <c r="A34" t="s">
        <v>54</v>
      </c>
      <c r="B34" t="s">
        <v>56</v>
      </c>
      <c r="C34" t="s">
        <v>55</v>
      </c>
      <c r="D34" t="str">
        <f>IF(E34&gt;F34,"승",IF(E34&lt;F34,"패"))</f>
        <v>패</v>
      </c>
      <c r="E34">
        <f>COUNTIF(M34:M42,"승")</f>
        <v>4</v>
      </c>
      <c r="F34">
        <f>COUNTA(M34:M42)-E34</f>
        <v>5</v>
      </c>
      <c r="G34" s="1">
        <f>E34/(E34+F34)</f>
        <v>0.44444444444444442</v>
      </c>
      <c r="I34" s="2">
        <v>1</v>
      </c>
      <c r="J34" t="s">
        <v>559</v>
      </c>
      <c r="K34" t="s">
        <v>39</v>
      </c>
      <c r="L34" t="str">
        <f t="shared" si="0"/>
        <v>Z</v>
      </c>
      <c r="M34" t="s">
        <v>3</v>
      </c>
      <c r="N34" t="s">
        <v>57</v>
      </c>
      <c r="O34" t="s">
        <v>521</v>
      </c>
      <c r="P34" t="s">
        <v>450</v>
      </c>
      <c r="Q34" t="s">
        <v>449</v>
      </c>
      <c r="R34" t="s">
        <v>432</v>
      </c>
    </row>
    <row r="35" spans="1:18" x14ac:dyDescent="0.6">
      <c r="I35" s="2">
        <v>2</v>
      </c>
      <c r="J35">
        <v>2</v>
      </c>
      <c r="K35" t="s">
        <v>18</v>
      </c>
      <c r="L35" t="str">
        <f t="shared" si="0"/>
        <v>Z</v>
      </c>
      <c r="M35" t="s">
        <v>4</v>
      </c>
      <c r="N35" t="s">
        <v>58</v>
      </c>
      <c r="O35" t="s">
        <v>522</v>
      </c>
      <c r="P35" t="s">
        <v>441</v>
      </c>
      <c r="Q35" t="s">
        <v>450</v>
      </c>
      <c r="R35" t="s">
        <v>431</v>
      </c>
    </row>
    <row r="36" spans="1:18" x14ac:dyDescent="0.6">
      <c r="I36" s="2">
        <v>3</v>
      </c>
      <c r="J36">
        <v>3</v>
      </c>
      <c r="K36" t="s">
        <v>49</v>
      </c>
      <c r="L36" t="str">
        <f t="shared" si="0"/>
        <v>P</v>
      </c>
      <c r="M36" t="s">
        <v>4</v>
      </c>
      <c r="N36" t="s">
        <v>59</v>
      </c>
      <c r="O36" t="s">
        <v>523</v>
      </c>
      <c r="P36" t="s">
        <v>436</v>
      </c>
      <c r="Q36" t="s">
        <v>451</v>
      </c>
      <c r="R36" t="s">
        <v>431</v>
      </c>
    </row>
    <row r="37" spans="1:18" x14ac:dyDescent="0.6">
      <c r="I37" s="2">
        <v>4</v>
      </c>
      <c r="J37">
        <v>4</v>
      </c>
      <c r="K37" t="s">
        <v>36</v>
      </c>
      <c r="L37" t="str">
        <f t="shared" si="0"/>
        <v>Z</v>
      </c>
      <c r="M37" t="s">
        <v>3</v>
      </c>
      <c r="N37" t="s">
        <v>60</v>
      </c>
      <c r="O37" t="s">
        <v>524</v>
      </c>
      <c r="P37" t="s">
        <v>451</v>
      </c>
      <c r="Q37" t="s">
        <v>452</v>
      </c>
      <c r="R37" t="s">
        <v>431</v>
      </c>
    </row>
    <row r="38" spans="1:18" x14ac:dyDescent="0.6">
      <c r="I38" s="2">
        <v>5</v>
      </c>
      <c r="J38">
        <v>5</v>
      </c>
      <c r="K38" t="s">
        <v>16</v>
      </c>
      <c r="L38" t="str">
        <f t="shared" si="0"/>
        <v>T</v>
      </c>
      <c r="M38" t="s">
        <v>3</v>
      </c>
      <c r="N38" t="s">
        <v>61</v>
      </c>
      <c r="O38" t="s">
        <v>525</v>
      </c>
      <c r="P38" t="s">
        <v>437</v>
      </c>
      <c r="Q38" t="s">
        <v>453</v>
      </c>
      <c r="R38" t="s">
        <v>430</v>
      </c>
    </row>
    <row r="39" spans="1:18" x14ac:dyDescent="0.6">
      <c r="I39" s="2">
        <v>6</v>
      </c>
      <c r="J39">
        <v>6</v>
      </c>
      <c r="K39" t="s">
        <v>19</v>
      </c>
      <c r="L39" t="str">
        <f t="shared" si="0"/>
        <v>P</v>
      </c>
      <c r="M39" t="s">
        <v>4</v>
      </c>
      <c r="N39" t="s">
        <v>62</v>
      </c>
      <c r="O39" t="s">
        <v>526</v>
      </c>
    </row>
    <row r="40" spans="1:18" x14ac:dyDescent="0.6">
      <c r="I40" s="2">
        <v>7</v>
      </c>
      <c r="J40">
        <v>7</v>
      </c>
      <c r="K40" t="s">
        <v>39</v>
      </c>
      <c r="L40" t="str">
        <f t="shared" si="0"/>
        <v>Z</v>
      </c>
      <c r="M40" t="s">
        <v>4</v>
      </c>
      <c r="N40" t="s">
        <v>57</v>
      </c>
      <c r="O40" t="s">
        <v>527</v>
      </c>
    </row>
    <row r="41" spans="1:18" x14ac:dyDescent="0.6">
      <c r="I41" s="2">
        <v>8</v>
      </c>
      <c r="J41">
        <v>8</v>
      </c>
      <c r="K41" t="s">
        <v>49</v>
      </c>
      <c r="L41" t="str">
        <f t="shared" si="0"/>
        <v>P</v>
      </c>
      <c r="M41" t="s">
        <v>3</v>
      </c>
      <c r="N41" t="s">
        <v>59</v>
      </c>
      <c r="O41" t="s">
        <v>528</v>
      </c>
    </row>
    <row r="42" spans="1:18" x14ac:dyDescent="0.6">
      <c r="I42" s="2">
        <v>9</v>
      </c>
      <c r="J42" t="s">
        <v>562</v>
      </c>
      <c r="K42" t="s">
        <v>19</v>
      </c>
      <c r="L42" t="str">
        <f t="shared" si="0"/>
        <v>P</v>
      </c>
      <c r="M42" t="s">
        <v>4</v>
      </c>
      <c r="N42" t="s">
        <v>62</v>
      </c>
      <c r="O42" t="s">
        <v>529</v>
      </c>
    </row>
    <row r="43" spans="1:18" x14ac:dyDescent="0.6">
      <c r="A43" t="s">
        <v>64</v>
      </c>
      <c r="B43" t="s">
        <v>65</v>
      </c>
      <c r="C43" t="s">
        <v>55</v>
      </c>
      <c r="D43" t="str">
        <f>IF(E43&gt;F43,"승",IF(E43&lt;F43,"패"))</f>
        <v>패</v>
      </c>
      <c r="E43">
        <f>COUNTIF(M43:M51,"승")</f>
        <v>4</v>
      </c>
      <c r="F43">
        <f>COUNTA(M43:M51)-E43</f>
        <v>5</v>
      </c>
      <c r="G43" s="1">
        <f>E43/(E43+F43)</f>
        <v>0.44444444444444442</v>
      </c>
      <c r="I43" s="2">
        <v>1</v>
      </c>
      <c r="J43" t="s">
        <v>559</v>
      </c>
      <c r="K43" t="s">
        <v>18</v>
      </c>
      <c r="L43" t="str">
        <f t="shared" si="0"/>
        <v>Z</v>
      </c>
      <c r="M43" t="s">
        <v>3</v>
      </c>
      <c r="N43" t="s">
        <v>68</v>
      </c>
      <c r="O43" t="s">
        <v>427</v>
      </c>
    </row>
    <row r="44" spans="1:18" x14ac:dyDescent="0.6">
      <c r="I44" s="2">
        <v>2</v>
      </c>
      <c r="J44">
        <v>2</v>
      </c>
      <c r="K44" t="s">
        <v>16</v>
      </c>
      <c r="L44" t="str">
        <f t="shared" si="0"/>
        <v>T</v>
      </c>
      <c r="M44" t="s">
        <v>4</v>
      </c>
      <c r="N44" t="s">
        <v>69</v>
      </c>
      <c r="O44" t="s">
        <v>499</v>
      </c>
    </row>
    <row r="45" spans="1:18" x14ac:dyDescent="0.6">
      <c r="I45" s="2">
        <v>3</v>
      </c>
      <c r="J45">
        <v>3</v>
      </c>
      <c r="K45" t="s">
        <v>66</v>
      </c>
      <c r="L45" t="str">
        <f t="shared" si="0"/>
        <v>Z</v>
      </c>
      <c r="M45" t="s">
        <v>4</v>
      </c>
      <c r="N45" t="s">
        <v>70</v>
      </c>
      <c r="O45" t="s">
        <v>500</v>
      </c>
    </row>
    <row r="46" spans="1:18" x14ac:dyDescent="0.6">
      <c r="I46" s="2">
        <v>4</v>
      </c>
      <c r="J46">
        <v>4</v>
      </c>
      <c r="K46" t="s">
        <v>49</v>
      </c>
      <c r="L46" t="str">
        <f t="shared" si="0"/>
        <v>P</v>
      </c>
      <c r="M46" t="s">
        <v>3</v>
      </c>
      <c r="N46" t="s">
        <v>71</v>
      </c>
      <c r="O46" t="s">
        <v>500</v>
      </c>
    </row>
    <row r="47" spans="1:18" x14ac:dyDescent="0.6">
      <c r="I47" s="2">
        <v>5</v>
      </c>
      <c r="J47">
        <v>5</v>
      </c>
      <c r="K47" t="s">
        <v>67</v>
      </c>
      <c r="L47" t="str">
        <f t="shared" si="0"/>
        <v>P</v>
      </c>
      <c r="M47" t="s">
        <v>4</v>
      </c>
      <c r="N47" t="s">
        <v>72</v>
      </c>
      <c r="O47" t="s">
        <v>501</v>
      </c>
    </row>
    <row r="48" spans="1:18" x14ac:dyDescent="0.6">
      <c r="I48" s="2">
        <v>6</v>
      </c>
      <c r="J48">
        <v>6</v>
      </c>
      <c r="K48" t="s">
        <v>25</v>
      </c>
      <c r="L48" t="str">
        <f t="shared" si="0"/>
        <v>T</v>
      </c>
      <c r="M48" t="s">
        <v>3</v>
      </c>
      <c r="N48" t="s">
        <v>73</v>
      </c>
      <c r="O48" t="s">
        <v>502</v>
      </c>
    </row>
    <row r="49" spans="1:15" x14ac:dyDescent="0.6">
      <c r="I49" s="2">
        <v>7</v>
      </c>
      <c r="J49">
        <v>7</v>
      </c>
      <c r="K49" t="s">
        <v>19</v>
      </c>
      <c r="L49" t="str">
        <f t="shared" si="0"/>
        <v>P</v>
      </c>
      <c r="M49" t="s">
        <v>3</v>
      </c>
      <c r="N49" t="s">
        <v>74</v>
      </c>
      <c r="O49" t="s">
        <v>503</v>
      </c>
    </row>
    <row r="50" spans="1:15" x14ac:dyDescent="0.6">
      <c r="I50" s="2">
        <v>8</v>
      </c>
      <c r="J50">
        <v>8</v>
      </c>
      <c r="K50" t="s">
        <v>49</v>
      </c>
      <c r="L50" t="str">
        <f t="shared" si="0"/>
        <v>P</v>
      </c>
      <c r="M50" t="s">
        <v>4</v>
      </c>
      <c r="N50" t="s">
        <v>71</v>
      </c>
      <c r="O50" t="s">
        <v>504</v>
      </c>
    </row>
    <row r="51" spans="1:15" x14ac:dyDescent="0.6">
      <c r="I51" s="2">
        <v>9</v>
      </c>
      <c r="J51" t="s">
        <v>562</v>
      </c>
      <c r="K51" t="s">
        <v>67</v>
      </c>
      <c r="L51" t="str">
        <f t="shared" si="0"/>
        <v>P</v>
      </c>
      <c r="M51" t="s">
        <v>4</v>
      </c>
      <c r="N51" t="s">
        <v>72</v>
      </c>
      <c r="O51" t="s">
        <v>505</v>
      </c>
    </row>
    <row r="52" spans="1:15" x14ac:dyDescent="0.6">
      <c r="A52" t="s">
        <v>75</v>
      </c>
      <c r="B52" t="s">
        <v>65</v>
      </c>
      <c r="C52" t="s">
        <v>55</v>
      </c>
      <c r="D52" t="str">
        <f>IF(E52&gt;F52,"승",IF(E52&lt;F52,"패"))</f>
        <v>패</v>
      </c>
      <c r="E52">
        <f>COUNTIF(M52:M57,"승")</f>
        <v>1</v>
      </c>
      <c r="F52">
        <f>COUNTA(M52:M57)-E52</f>
        <v>5</v>
      </c>
      <c r="G52" s="1">
        <f>E52/(E52+F52)</f>
        <v>0.16666666666666666</v>
      </c>
      <c r="H52" t="s">
        <v>123</v>
      </c>
      <c r="I52" s="2">
        <v>1</v>
      </c>
      <c r="J52" t="s">
        <v>559</v>
      </c>
      <c r="K52" t="s">
        <v>39</v>
      </c>
      <c r="L52" t="str">
        <f t="shared" si="0"/>
        <v>Z</v>
      </c>
      <c r="M52" t="s">
        <v>4</v>
      </c>
      <c r="N52" t="s">
        <v>71</v>
      </c>
      <c r="O52" t="s">
        <v>530</v>
      </c>
    </row>
    <row r="53" spans="1:15" x14ac:dyDescent="0.6">
      <c r="I53" s="2">
        <v>2</v>
      </c>
      <c r="J53">
        <v>2</v>
      </c>
      <c r="K53" t="s">
        <v>18</v>
      </c>
      <c r="L53" t="str">
        <f t="shared" si="0"/>
        <v>Z</v>
      </c>
      <c r="M53" t="s">
        <v>4</v>
      </c>
      <c r="N53" t="s">
        <v>77</v>
      </c>
      <c r="O53" t="s">
        <v>531</v>
      </c>
    </row>
    <row r="54" spans="1:15" x14ac:dyDescent="0.6">
      <c r="I54" s="2">
        <v>3</v>
      </c>
      <c r="J54">
        <v>3</v>
      </c>
      <c r="K54" t="s">
        <v>67</v>
      </c>
      <c r="L54" t="str">
        <f t="shared" si="0"/>
        <v>P</v>
      </c>
      <c r="M54" t="s">
        <v>3</v>
      </c>
      <c r="N54" t="s">
        <v>69</v>
      </c>
      <c r="O54" t="s">
        <v>532</v>
      </c>
    </row>
    <row r="55" spans="1:15" x14ac:dyDescent="0.6">
      <c r="I55" s="2">
        <v>4</v>
      </c>
      <c r="J55">
        <v>4</v>
      </c>
      <c r="K55" t="s">
        <v>8</v>
      </c>
      <c r="L55" t="str">
        <f t="shared" si="0"/>
        <v>P</v>
      </c>
      <c r="M55" t="s">
        <v>4</v>
      </c>
      <c r="N55" t="s">
        <v>78</v>
      </c>
      <c r="O55" t="s">
        <v>533</v>
      </c>
    </row>
    <row r="56" spans="1:15" x14ac:dyDescent="0.6">
      <c r="I56" s="2">
        <v>5</v>
      </c>
      <c r="J56">
        <v>5</v>
      </c>
      <c r="K56" t="s">
        <v>19</v>
      </c>
      <c r="L56" t="str">
        <f t="shared" si="0"/>
        <v>P</v>
      </c>
      <c r="M56" t="s">
        <v>4</v>
      </c>
      <c r="N56" t="s">
        <v>79</v>
      </c>
      <c r="O56" t="s">
        <v>534</v>
      </c>
    </row>
    <row r="57" spans="1:15" x14ac:dyDescent="0.6">
      <c r="I57" s="2">
        <v>6</v>
      </c>
      <c r="J57">
        <v>6</v>
      </c>
      <c r="K57" t="s">
        <v>76</v>
      </c>
      <c r="L57" t="str">
        <f t="shared" si="0"/>
        <v>T</v>
      </c>
      <c r="M57" t="s">
        <v>4</v>
      </c>
      <c r="N57" t="s">
        <v>80</v>
      </c>
      <c r="O57" t="s">
        <v>535</v>
      </c>
    </row>
    <row r="58" spans="1:15" x14ac:dyDescent="0.6">
      <c r="A58" t="s">
        <v>81</v>
      </c>
      <c r="B58" t="s">
        <v>82</v>
      </c>
      <c r="C58" t="s">
        <v>55</v>
      </c>
      <c r="D58" t="str">
        <f>IF(E58&gt;F58,"승",IF(E58&lt;F58,"패"))</f>
        <v>승</v>
      </c>
      <c r="E58">
        <f>COUNTIF(M58:M65,"승")</f>
        <v>5</v>
      </c>
      <c r="F58">
        <f>COUNTA(M58:M65)-E58</f>
        <v>3</v>
      </c>
      <c r="G58" s="1">
        <f>E58/(E58+F58)</f>
        <v>0.625</v>
      </c>
      <c r="H58" t="s">
        <v>124</v>
      </c>
      <c r="I58" s="2">
        <v>1</v>
      </c>
      <c r="J58" t="s">
        <v>559</v>
      </c>
      <c r="K58" t="s">
        <v>83</v>
      </c>
      <c r="L58" t="str">
        <f t="shared" si="0"/>
        <v>Z</v>
      </c>
      <c r="M58" t="s">
        <v>4</v>
      </c>
      <c r="N58" t="s">
        <v>84</v>
      </c>
      <c r="O58" t="s">
        <v>536</v>
      </c>
    </row>
    <row r="59" spans="1:15" x14ac:dyDescent="0.6">
      <c r="I59" s="2">
        <v>2</v>
      </c>
      <c r="J59">
        <v>2</v>
      </c>
      <c r="K59" t="s">
        <v>66</v>
      </c>
      <c r="L59" t="str">
        <f t="shared" si="0"/>
        <v>Z</v>
      </c>
      <c r="M59" t="s">
        <v>3</v>
      </c>
      <c r="N59" t="s">
        <v>85</v>
      </c>
      <c r="O59" t="s">
        <v>537</v>
      </c>
    </row>
    <row r="60" spans="1:15" x14ac:dyDescent="0.6">
      <c r="I60" s="2">
        <v>3</v>
      </c>
      <c r="J60">
        <v>3</v>
      </c>
      <c r="K60" t="s">
        <v>76</v>
      </c>
      <c r="L60" t="str">
        <f t="shared" si="0"/>
        <v>T</v>
      </c>
      <c r="M60" t="s">
        <v>3</v>
      </c>
      <c r="N60" t="s">
        <v>86</v>
      </c>
      <c r="O60" t="s">
        <v>538</v>
      </c>
    </row>
    <row r="61" spans="1:15" x14ac:dyDescent="0.6">
      <c r="I61" s="2">
        <v>4</v>
      </c>
      <c r="J61">
        <v>4</v>
      </c>
      <c r="K61" t="s">
        <v>8</v>
      </c>
      <c r="L61" t="str">
        <f t="shared" si="0"/>
        <v>P</v>
      </c>
      <c r="M61" t="s">
        <v>3</v>
      </c>
      <c r="N61" t="s">
        <v>87</v>
      </c>
      <c r="O61" t="s">
        <v>539</v>
      </c>
    </row>
    <row r="62" spans="1:15" x14ac:dyDescent="0.6">
      <c r="I62" s="2">
        <v>5</v>
      </c>
      <c r="J62">
        <v>5</v>
      </c>
      <c r="K62" t="s">
        <v>19</v>
      </c>
      <c r="L62" t="str">
        <f t="shared" si="0"/>
        <v>P</v>
      </c>
      <c r="M62" t="s">
        <v>4</v>
      </c>
      <c r="N62" t="s">
        <v>88</v>
      </c>
      <c r="O62" t="s">
        <v>540</v>
      </c>
    </row>
    <row r="63" spans="1:15" x14ac:dyDescent="0.6">
      <c r="I63" s="2">
        <v>6</v>
      </c>
      <c r="J63">
        <v>6</v>
      </c>
      <c r="K63" t="s">
        <v>18</v>
      </c>
      <c r="L63" t="str">
        <f t="shared" si="0"/>
        <v>Z</v>
      </c>
      <c r="M63" t="s">
        <v>4</v>
      </c>
      <c r="N63" t="s">
        <v>89</v>
      </c>
      <c r="O63" t="s">
        <v>541</v>
      </c>
    </row>
    <row r="64" spans="1:15" x14ac:dyDescent="0.6">
      <c r="I64" s="2">
        <v>7</v>
      </c>
      <c r="J64">
        <v>7</v>
      </c>
      <c r="K64" t="s">
        <v>39</v>
      </c>
      <c r="L64" t="str">
        <f t="shared" si="0"/>
        <v>Z</v>
      </c>
      <c r="M64" t="s">
        <v>3</v>
      </c>
      <c r="N64" t="s">
        <v>90</v>
      </c>
      <c r="O64" t="s">
        <v>542</v>
      </c>
    </row>
    <row r="65" spans="1:15" x14ac:dyDescent="0.6">
      <c r="I65" s="2">
        <v>8</v>
      </c>
      <c r="J65">
        <v>8</v>
      </c>
      <c r="K65" t="s">
        <v>67</v>
      </c>
      <c r="L65" t="str">
        <f t="shared" si="0"/>
        <v>P</v>
      </c>
      <c r="M65" t="s">
        <v>3</v>
      </c>
      <c r="N65" t="s">
        <v>91</v>
      </c>
      <c r="O65" t="s">
        <v>543</v>
      </c>
    </row>
    <row r="66" spans="1:15" x14ac:dyDescent="0.6">
      <c r="A66" t="s">
        <v>92</v>
      </c>
      <c r="B66" t="s">
        <v>93</v>
      </c>
      <c r="C66" t="s">
        <v>94</v>
      </c>
      <c r="D66" t="str">
        <f>IF(E66&gt;F66,"승",IF(E66&lt;F66,"패"))</f>
        <v>패</v>
      </c>
      <c r="E66">
        <f>COUNTIF(M66:M73,"승")</f>
        <v>2</v>
      </c>
      <c r="F66">
        <f>COUNTA(M66:M73)-E66</f>
        <v>6</v>
      </c>
      <c r="G66" s="1">
        <f>E66/(E66+F66)</f>
        <v>0.25</v>
      </c>
      <c r="H66" s="1" t="s">
        <v>144</v>
      </c>
      <c r="I66" s="2">
        <v>1</v>
      </c>
      <c r="J66" t="s">
        <v>559</v>
      </c>
      <c r="K66" t="s">
        <v>66</v>
      </c>
      <c r="L66" t="str">
        <f t="shared" si="0"/>
        <v>Z</v>
      </c>
      <c r="M66" t="s">
        <v>3</v>
      </c>
      <c r="N66" t="s">
        <v>95</v>
      </c>
    </row>
    <row r="67" spans="1:15" x14ac:dyDescent="0.6">
      <c r="I67" s="2">
        <v>2</v>
      </c>
      <c r="J67">
        <v>2</v>
      </c>
      <c r="K67" t="s">
        <v>18</v>
      </c>
      <c r="L67" t="str">
        <f t="shared" ref="L67:L130" si="1">INDEX($R$2:$R$99,MATCH(K67,$Q$2:$Q$99,0))</f>
        <v>Z</v>
      </c>
      <c r="M67" t="s">
        <v>4</v>
      </c>
      <c r="N67" t="s">
        <v>17</v>
      </c>
    </row>
    <row r="68" spans="1:15" x14ac:dyDescent="0.6">
      <c r="I68" s="2">
        <v>3</v>
      </c>
      <c r="J68">
        <v>3</v>
      </c>
      <c r="K68" t="s">
        <v>39</v>
      </c>
      <c r="L68" t="str">
        <f t="shared" si="1"/>
        <v>Z</v>
      </c>
      <c r="M68" t="s">
        <v>4</v>
      </c>
      <c r="N68" t="s">
        <v>96</v>
      </c>
    </row>
    <row r="69" spans="1:15" x14ac:dyDescent="0.6">
      <c r="I69" s="2">
        <v>4</v>
      </c>
      <c r="J69">
        <v>4</v>
      </c>
      <c r="K69" t="s">
        <v>19</v>
      </c>
      <c r="L69" t="str">
        <f t="shared" si="1"/>
        <v>P</v>
      </c>
      <c r="M69" t="s">
        <v>4</v>
      </c>
      <c r="N69" t="s">
        <v>97</v>
      </c>
    </row>
    <row r="70" spans="1:15" x14ac:dyDescent="0.6">
      <c r="I70" s="2">
        <v>5</v>
      </c>
      <c r="J70" t="s">
        <v>559</v>
      </c>
      <c r="K70" t="s">
        <v>19</v>
      </c>
      <c r="L70" t="str">
        <f t="shared" si="1"/>
        <v>P</v>
      </c>
      <c r="M70" t="s">
        <v>3</v>
      </c>
      <c r="N70" t="s">
        <v>98</v>
      </c>
    </row>
    <row r="71" spans="1:15" x14ac:dyDescent="0.6">
      <c r="I71" s="2">
        <v>6</v>
      </c>
      <c r="J71">
        <v>2</v>
      </c>
      <c r="K71" t="s">
        <v>39</v>
      </c>
      <c r="L71" t="str">
        <f t="shared" si="1"/>
        <v>Z</v>
      </c>
      <c r="M71" t="s">
        <v>4</v>
      </c>
      <c r="N71" t="s">
        <v>97</v>
      </c>
    </row>
    <row r="72" spans="1:15" x14ac:dyDescent="0.6">
      <c r="I72" s="2">
        <v>7</v>
      </c>
      <c r="J72">
        <v>3</v>
      </c>
      <c r="K72" t="s">
        <v>18</v>
      </c>
      <c r="L72" t="str">
        <f t="shared" si="1"/>
        <v>Z</v>
      </c>
      <c r="M72" t="s">
        <v>4</v>
      </c>
      <c r="N72" t="s">
        <v>17</v>
      </c>
    </row>
    <row r="73" spans="1:15" x14ac:dyDescent="0.6">
      <c r="I73" s="2">
        <v>8</v>
      </c>
      <c r="J73">
        <v>4</v>
      </c>
      <c r="K73" t="s">
        <v>67</v>
      </c>
      <c r="L73" t="str">
        <f t="shared" si="1"/>
        <v>P</v>
      </c>
      <c r="M73" t="s">
        <v>4</v>
      </c>
      <c r="N73" t="s">
        <v>95</v>
      </c>
    </row>
    <row r="74" spans="1:15" x14ac:dyDescent="0.6">
      <c r="A74" t="s">
        <v>99</v>
      </c>
      <c r="B74" t="s">
        <v>100</v>
      </c>
      <c r="C74" t="s">
        <v>55</v>
      </c>
      <c r="D74" t="str">
        <f>IF(E74&gt;F74,"승",IF(E74&lt;F74,"패"))</f>
        <v>패</v>
      </c>
      <c r="E74">
        <f>COUNTIF(M74:M80,"승")</f>
        <v>2</v>
      </c>
      <c r="F74">
        <f>COUNTA(M74:M80)-E74</f>
        <v>5</v>
      </c>
      <c r="G74" s="1">
        <f>E74/(E74+F74)</f>
        <v>0.2857142857142857</v>
      </c>
      <c r="H74" t="s">
        <v>124</v>
      </c>
      <c r="I74" s="2">
        <v>1</v>
      </c>
      <c r="J74" t="s">
        <v>559</v>
      </c>
      <c r="K74" t="s">
        <v>108</v>
      </c>
      <c r="L74" t="str">
        <f t="shared" si="1"/>
        <v>T</v>
      </c>
      <c r="M74" t="s">
        <v>4</v>
      </c>
      <c r="N74" t="s">
        <v>101</v>
      </c>
      <c r="O74" t="s">
        <v>544</v>
      </c>
    </row>
    <row r="75" spans="1:15" x14ac:dyDescent="0.6">
      <c r="I75" s="2">
        <v>2</v>
      </c>
      <c r="J75">
        <v>2</v>
      </c>
      <c r="K75" t="s">
        <v>16</v>
      </c>
      <c r="L75" t="str">
        <f t="shared" si="1"/>
        <v>T</v>
      </c>
      <c r="M75" t="s">
        <v>4</v>
      </c>
      <c r="N75" t="s">
        <v>102</v>
      </c>
      <c r="O75" t="s">
        <v>545</v>
      </c>
    </row>
    <row r="76" spans="1:15" x14ac:dyDescent="0.6">
      <c r="I76" s="2">
        <v>3</v>
      </c>
      <c r="J76">
        <v>3</v>
      </c>
      <c r="K76" t="s">
        <v>19</v>
      </c>
      <c r="L76" t="str">
        <f t="shared" si="1"/>
        <v>P</v>
      </c>
      <c r="M76" t="s">
        <v>4</v>
      </c>
      <c r="N76" t="s">
        <v>103</v>
      </c>
      <c r="O76" t="s">
        <v>546</v>
      </c>
    </row>
    <row r="77" spans="1:15" x14ac:dyDescent="0.6">
      <c r="I77" s="2">
        <v>4</v>
      </c>
      <c r="J77">
        <v>4</v>
      </c>
      <c r="K77" t="s">
        <v>18</v>
      </c>
      <c r="L77" t="str">
        <f t="shared" si="1"/>
        <v>Z</v>
      </c>
      <c r="M77" t="s">
        <v>3</v>
      </c>
      <c r="N77" t="s">
        <v>104</v>
      </c>
      <c r="O77" t="s">
        <v>547</v>
      </c>
    </row>
    <row r="78" spans="1:15" x14ac:dyDescent="0.6">
      <c r="I78" s="2">
        <v>5</v>
      </c>
      <c r="J78">
        <v>5</v>
      </c>
      <c r="K78" t="s">
        <v>39</v>
      </c>
      <c r="L78" t="str">
        <f t="shared" si="1"/>
        <v>Z</v>
      </c>
      <c r="M78" t="s">
        <v>3</v>
      </c>
      <c r="N78" t="s">
        <v>105</v>
      </c>
      <c r="O78" t="s">
        <v>548</v>
      </c>
    </row>
    <row r="79" spans="1:15" x14ac:dyDescent="0.6">
      <c r="I79" s="2">
        <v>6</v>
      </c>
      <c r="J79">
        <v>6</v>
      </c>
      <c r="K79" t="s">
        <v>83</v>
      </c>
      <c r="L79" t="str">
        <f t="shared" si="1"/>
        <v>Z</v>
      </c>
      <c r="M79" t="s">
        <v>4</v>
      </c>
      <c r="N79" t="s">
        <v>106</v>
      </c>
      <c r="O79" t="s">
        <v>549</v>
      </c>
    </row>
    <row r="80" spans="1:15" x14ac:dyDescent="0.6">
      <c r="I80" s="2">
        <v>7</v>
      </c>
      <c r="J80">
        <v>7</v>
      </c>
      <c r="K80" t="s">
        <v>8</v>
      </c>
      <c r="L80" t="str">
        <f t="shared" si="1"/>
        <v>P</v>
      </c>
      <c r="M80" t="s">
        <v>4</v>
      </c>
      <c r="N80" t="s">
        <v>107</v>
      </c>
      <c r="O80" t="s">
        <v>550</v>
      </c>
    </row>
    <row r="81" spans="1:15" x14ac:dyDescent="0.6">
      <c r="A81" t="s">
        <v>109</v>
      </c>
      <c r="B81" t="s">
        <v>110</v>
      </c>
      <c r="C81" t="s">
        <v>94</v>
      </c>
      <c r="D81" t="s">
        <v>586</v>
      </c>
      <c r="E81">
        <f>COUNTIF(M81:M88,"승")</f>
        <v>4</v>
      </c>
      <c r="F81">
        <f>COUNTA(M81:M88)-E81</f>
        <v>4</v>
      </c>
      <c r="G81" s="1">
        <f>E81/(E81+F81)</f>
        <v>0.5</v>
      </c>
      <c r="H81" s="1" t="s">
        <v>119</v>
      </c>
      <c r="I81" s="2">
        <v>1</v>
      </c>
      <c r="J81" t="s">
        <v>559</v>
      </c>
      <c r="K81" t="s">
        <v>18</v>
      </c>
      <c r="L81" t="str">
        <f t="shared" si="1"/>
        <v>Z</v>
      </c>
      <c r="M81" t="s">
        <v>3</v>
      </c>
      <c r="N81" t="s">
        <v>111</v>
      </c>
      <c r="O81" t="s">
        <v>551</v>
      </c>
    </row>
    <row r="82" spans="1:15" x14ac:dyDescent="0.6">
      <c r="I82" s="2">
        <v>2</v>
      </c>
      <c r="J82">
        <v>2</v>
      </c>
      <c r="K82" t="s">
        <v>16</v>
      </c>
      <c r="L82" t="str">
        <f t="shared" si="1"/>
        <v>T</v>
      </c>
      <c r="M82" t="s">
        <v>4</v>
      </c>
      <c r="N82" t="s">
        <v>112</v>
      </c>
      <c r="O82" t="s">
        <v>552</v>
      </c>
    </row>
    <row r="83" spans="1:15" x14ac:dyDescent="0.6">
      <c r="I83" s="2">
        <v>3</v>
      </c>
      <c r="J83">
        <v>3</v>
      </c>
      <c r="K83" t="s">
        <v>8</v>
      </c>
      <c r="L83" t="str">
        <f t="shared" si="1"/>
        <v>P</v>
      </c>
      <c r="M83" t="s">
        <v>4</v>
      </c>
      <c r="N83" t="s">
        <v>113</v>
      </c>
      <c r="O83" t="s">
        <v>553</v>
      </c>
    </row>
    <row r="84" spans="1:15" x14ac:dyDescent="0.6">
      <c r="I84" s="2">
        <v>4</v>
      </c>
      <c r="J84">
        <v>4</v>
      </c>
      <c r="K84" t="s">
        <v>67</v>
      </c>
      <c r="L84" t="str">
        <f t="shared" si="1"/>
        <v>P</v>
      </c>
      <c r="M84" t="s">
        <v>4</v>
      </c>
      <c r="N84" t="s">
        <v>114</v>
      </c>
      <c r="O84" t="s">
        <v>554</v>
      </c>
    </row>
    <row r="85" spans="1:15" x14ac:dyDescent="0.6">
      <c r="I85" s="2">
        <v>5</v>
      </c>
      <c r="J85" t="s">
        <v>559</v>
      </c>
      <c r="K85" t="s">
        <v>19</v>
      </c>
      <c r="L85" t="str">
        <f t="shared" si="1"/>
        <v>P</v>
      </c>
      <c r="M85" t="s">
        <v>3</v>
      </c>
      <c r="N85" t="s">
        <v>115</v>
      </c>
      <c r="O85" t="s">
        <v>555</v>
      </c>
    </row>
    <row r="86" spans="1:15" x14ac:dyDescent="0.6">
      <c r="I86" s="2">
        <v>6</v>
      </c>
      <c r="J86">
        <v>2</v>
      </c>
      <c r="K86" t="s">
        <v>67</v>
      </c>
      <c r="L86" t="str">
        <f t="shared" si="1"/>
        <v>P</v>
      </c>
      <c r="M86" t="s">
        <v>3</v>
      </c>
      <c r="N86" t="s">
        <v>112</v>
      </c>
      <c r="O86" t="s">
        <v>556</v>
      </c>
    </row>
    <row r="87" spans="1:15" x14ac:dyDescent="0.6">
      <c r="I87" s="2">
        <v>7</v>
      </c>
      <c r="J87">
        <v>3</v>
      </c>
      <c r="K87" t="s">
        <v>8</v>
      </c>
      <c r="L87" t="str">
        <f t="shared" si="1"/>
        <v>P</v>
      </c>
      <c r="M87" t="s">
        <v>3</v>
      </c>
      <c r="N87" t="s">
        <v>113</v>
      </c>
      <c r="O87" t="s">
        <v>557</v>
      </c>
    </row>
    <row r="88" spans="1:15" x14ac:dyDescent="0.6">
      <c r="I88" s="2">
        <v>8</v>
      </c>
      <c r="J88" t="s">
        <v>562</v>
      </c>
      <c r="K88" t="s">
        <v>8</v>
      </c>
      <c r="L88" t="str">
        <f t="shared" si="1"/>
        <v>P</v>
      </c>
      <c r="M88" t="s">
        <v>4</v>
      </c>
      <c r="N88" t="s">
        <v>113</v>
      </c>
      <c r="O88" t="s">
        <v>558</v>
      </c>
    </row>
    <row r="89" spans="1:15" x14ac:dyDescent="0.6">
      <c r="A89" t="s">
        <v>116</v>
      </c>
      <c r="B89" t="s">
        <v>117</v>
      </c>
      <c r="C89" t="s">
        <v>94</v>
      </c>
      <c r="D89" t="str">
        <f>IF(E89&gt;F89,"승",IF(E89&lt;F89,"패"))</f>
        <v>승</v>
      </c>
      <c r="E89">
        <f>COUNTIF(M89:M94,"승")</f>
        <v>6</v>
      </c>
      <c r="F89">
        <f>COUNTA(M89:M94)-E89</f>
        <v>0</v>
      </c>
      <c r="G89" s="1">
        <f>E89/(E89+F89)</f>
        <v>1</v>
      </c>
      <c r="H89" s="1" t="s">
        <v>46</v>
      </c>
      <c r="I89" s="2">
        <v>1</v>
      </c>
      <c r="J89" t="s">
        <v>559</v>
      </c>
      <c r="K89" t="s">
        <v>76</v>
      </c>
      <c r="L89" t="str">
        <f t="shared" si="1"/>
        <v>T</v>
      </c>
      <c r="M89" t="s">
        <v>3</v>
      </c>
      <c r="N89" t="s">
        <v>120</v>
      </c>
      <c r="O89" t="s">
        <v>563</v>
      </c>
    </row>
    <row r="90" spans="1:15" x14ac:dyDescent="0.6">
      <c r="I90" s="2">
        <v>2</v>
      </c>
      <c r="J90">
        <v>2</v>
      </c>
      <c r="K90" t="s">
        <v>39</v>
      </c>
      <c r="L90" t="str">
        <f t="shared" si="1"/>
        <v>Z</v>
      </c>
      <c r="M90" t="s">
        <v>3</v>
      </c>
      <c r="N90" t="s">
        <v>121</v>
      </c>
      <c r="O90" t="s">
        <v>564</v>
      </c>
    </row>
    <row r="91" spans="1:15" x14ac:dyDescent="0.6">
      <c r="I91" s="2">
        <v>3</v>
      </c>
      <c r="J91">
        <v>3</v>
      </c>
      <c r="K91" t="s">
        <v>16</v>
      </c>
      <c r="L91" t="str">
        <f t="shared" si="1"/>
        <v>T</v>
      </c>
      <c r="M91" t="s">
        <v>3</v>
      </c>
      <c r="N91" t="s">
        <v>122</v>
      </c>
      <c r="O91" t="s">
        <v>565</v>
      </c>
    </row>
    <row r="92" spans="1:15" x14ac:dyDescent="0.6">
      <c r="I92" s="2">
        <v>4</v>
      </c>
      <c r="J92" t="s">
        <v>559</v>
      </c>
      <c r="K92" t="s">
        <v>16</v>
      </c>
      <c r="L92" t="str">
        <f t="shared" si="1"/>
        <v>T</v>
      </c>
      <c r="M92" t="s">
        <v>3</v>
      </c>
      <c r="N92" t="s">
        <v>72</v>
      </c>
      <c r="O92" t="s">
        <v>566</v>
      </c>
    </row>
    <row r="93" spans="1:15" x14ac:dyDescent="0.6">
      <c r="I93" s="2">
        <v>5</v>
      </c>
      <c r="J93">
        <v>2</v>
      </c>
      <c r="K93" t="s">
        <v>18</v>
      </c>
      <c r="L93" t="str">
        <f t="shared" si="1"/>
        <v>Z</v>
      </c>
      <c r="M93" t="s">
        <v>3</v>
      </c>
      <c r="N93" t="s">
        <v>68</v>
      </c>
      <c r="O93" t="s">
        <v>567</v>
      </c>
    </row>
    <row r="94" spans="1:15" x14ac:dyDescent="0.6">
      <c r="I94" s="2">
        <v>6</v>
      </c>
      <c r="J94">
        <v>3</v>
      </c>
      <c r="K94" t="s">
        <v>66</v>
      </c>
      <c r="L94" t="str">
        <f t="shared" si="1"/>
        <v>Z</v>
      </c>
      <c r="M94" t="s">
        <v>3</v>
      </c>
      <c r="N94" t="s">
        <v>122</v>
      </c>
      <c r="O94" t="s">
        <v>568</v>
      </c>
    </row>
    <row r="95" spans="1:15" x14ac:dyDescent="0.6">
      <c r="A95" t="s">
        <v>125</v>
      </c>
      <c r="C95" t="s">
        <v>47</v>
      </c>
      <c r="D95" t="str">
        <f>IF(E95&gt;F95,"승",IF(E95&lt;F95,"패"))</f>
        <v>승</v>
      </c>
      <c r="E95">
        <f>COUNTIF(M95:M105,"승")</f>
        <v>6</v>
      </c>
      <c r="F95">
        <f>COUNTA(M95:M105)-E95</f>
        <v>5</v>
      </c>
      <c r="G95" s="1">
        <f>E95/(E95+F95)</f>
        <v>0.54545454545454541</v>
      </c>
      <c r="I95" s="2">
        <v>1</v>
      </c>
      <c r="J95" t="s">
        <v>559</v>
      </c>
      <c r="K95" t="s">
        <v>39</v>
      </c>
      <c r="L95" t="str">
        <f t="shared" si="1"/>
        <v>Z</v>
      </c>
      <c r="M95" t="s">
        <v>4</v>
      </c>
      <c r="N95" t="s">
        <v>96</v>
      </c>
    </row>
    <row r="96" spans="1:15" x14ac:dyDescent="0.6">
      <c r="I96" s="2">
        <v>2</v>
      </c>
      <c r="J96">
        <v>2</v>
      </c>
      <c r="K96" t="s">
        <v>18</v>
      </c>
      <c r="L96" t="str">
        <f t="shared" si="1"/>
        <v>Z</v>
      </c>
      <c r="M96" t="s">
        <v>4</v>
      </c>
      <c r="N96" t="s">
        <v>17</v>
      </c>
    </row>
    <row r="97" spans="1:14" x14ac:dyDescent="0.6">
      <c r="I97" s="2">
        <v>3</v>
      </c>
      <c r="J97">
        <v>3</v>
      </c>
      <c r="K97" t="s">
        <v>39</v>
      </c>
      <c r="L97" t="str">
        <f t="shared" si="1"/>
        <v>Z</v>
      </c>
      <c r="M97" t="s">
        <v>4</v>
      </c>
      <c r="N97" t="s">
        <v>96</v>
      </c>
    </row>
    <row r="98" spans="1:14" x14ac:dyDescent="0.6">
      <c r="I98" s="2">
        <v>4</v>
      </c>
      <c r="J98">
        <v>4</v>
      </c>
      <c r="K98" t="s">
        <v>18</v>
      </c>
      <c r="L98" t="str">
        <f t="shared" si="1"/>
        <v>Z</v>
      </c>
      <c r="M98" t="s">
        <v>4</v>
      </c>
      <c r="N98" t="s">
        <v>17</v>
      </c>
    </row>
    <row r="99" spans="1:14" x14ac:dyDescent="0.6">
      <c r="I99" s="2">
        <v>5</v>
      </c>
      <c r="J99">
        <v>5</v>
      </c>
      <c r="K99" t="s">
        <v>39</v>
      </c>
      <c r="L99" t="str">
        <f t="shared" si="1"/>
        <v>Z</v>
      </c>
      <c r="M99" t="s">
        <v>4</v>
      </c>
      <c r="N99" t="s">
        <v>96</v>
      </c>
    </row>
    <row r="100" spans="1:14" x14ac:dyDescent="0.6">
      <c r="I100" s="2">
        <v>6</v>
      </c>
      <c r="J100">
        <v>6</v>
      </c>
      <c r="K100" t="s">
        <v>18</v>
      </c>
      <c r="L100" t="str">
        <f t="shared" si="1"/>
        <v>Z</v>
      </c>
      <c r="M100" t="s">
        <v>3</v>
      </c>
      <c r="N100" t="s">
        <v>17</v>
      </c>
    </row>
    <row r="101" spans="1:14" x14ac:dyDescent="0.6">
      <c r="I101" s="2">
        <v>7</v>
      </c>
      <c r="J101">
        <v>7</v>
      </c>
      <c r="K101" t="s">
        <v>39</v>
      </c>
      <c r="L101" t="str">
        <f t="shared" si="1"/>
        <v>Z</v>
      </c>
      <c r="M101" t="s">
        <v>3</v>
      </c>
      <c r="N101" t="s">
        <v>96</v>
      </c>
    </row>
    <row r="102" spans="1:14" x14ac:dyDescent="0.6">
      <c r="I102" s="2">
        <v>8</v>
      </c>
      <c r="J102">
        <v>8</v>
      </c>
      <c r="K102" t="s">
        <v>18</v>
      </c>
      <c r="L102" t="str">
        <f t="shared" si="1"/>
        <v>Z</v>
      </c>
      <c r="M102" t="s">
        <v>3</v>
      </c>
      <c r="N102" t="s">
        <v>17</v>
      </c>
    </row>
    <row r="103" spans="1:14" x14ac:dyDescent="0.6">
      <c r="I103" s="2">
        <v>9</v>
      </c>
      <c r="J103" t="s">
        <v>562</v>
      </c>
      <c r="K103" t="s">
        <v>39</v>
      </c>
      <c r="L103" t="str">
        <f t="shared" si="1"/>
        <v>Z</v>
      </c>
      <c r="M103" t="s">
        <v>3</v>
      </c>
      <c r="N103" t="s">
        <v>96</v>
      </c>
    </row>
    <row r="104" spans="1:14" x14ac:dyDescent="0.6">
      <c r="I104" s="2">
        <v>10</v>
      </c>
      <c r="J104" t="s">
        <v>560</v>
      </c>
      <c r="K104" t="s">
        <v>18</v>
      </c>
      <c r="L104" t="str">
        <f t="shared" si="1"/>
        <v>Z</v>
      </c>
      <c r="M104" t="s">
        <v>3</v>
      </c>
      <c r="N104" t="s">
        <v>17</v>
      </c>
    </row>
    <row r="105" spans="1:14" x14ac:dyDescent="0.6">
      <c r="I105" s="2">
        <v>11</v>
      </c>
      <c r="J105" t="s">
        <v>561</v>
      </c>
      <c r="K105" t="s">
        <v>18</v>
      </c>
      <c r="L105" t="str">
        <f t="shared" si="1"/>
        <v>Z</v>
      </c>
      <c r="M105" t="s">
        <v>3</v>
      </c>
      <c r="N105" t="s">
        <v>17</v>
      </c>
    </row>
    <row r="106" spans="1:14" x14ac:dyDescent="0.6">
      <c r="A106" t="s">
        <v>63</v>
      </c>
      <c r="C106" t="s">
        <v>47</v>
      </c>
      <c r="D106" t="str">
        <f>IF(E106&gt;F106,"승",IF(E106&lt;F106,"패"))</f>
        <v>패</v>
      </c>
      <c r="E106">
        <f>COUNTIF(M106:M112,"승")</f>
        <v>3</v>
      </c>
      <c r="F106">
        <f>COUNTA(M106:M112)-E106</f>
        <v>4</v>
      </c>
      <c r="G106" s="1">
        <f>E106/(E106+F106)</f>
        <v>0.42857142857142855</v>
      </c>
      <c r="I106" s="2">
        <v>1</v>
      </c>
      <c r="J106" t="s">
        <v>559</v>
      </c>
      <c r="K106" t="s">
        <v>17</v>
      </c>
      <c r="L106" t="str">
        <f t="shared" si="1"/>
        <v>T</v>
      </c>
      <c r="M106" t="s">
        <v>3</v>
      </c>
      <c r="N106" t="s">
        <v>28</v>
      </c>
    </row>
    <row r="107" spans="1:14" x14ac:dyDescent="0.6">
      <c r="I107" s="2">
        <v>2</v>
      </c>
      <c r="J107">
        <v>2</v>
      </c>
      <c r="K107" t="s">
        <v>17</v>
      </c>
      <c r="L107" t="str">
        <f t="shared" si="1"/>
        <v>T</v>
      </c>
      <c r="M107" t="s">
        <v>3</v>
      </c>
      <c r="N107" t="s">
        <v>28</v>
      </c>
    </row>
    <row r="108" spans="1:14" x14ac:dyDescent="0.6">
      <c r="I108" s="2">
        <v>3</v>
      </c>
      <c r="J108">
        <v>3</v>
      </c>
      <c r="K108" t="s">
        <v>17</v>
      </c>
      <c r="L108" t="str">
        <f t="shared" si="1"/>
        <v>T</v>
      </c>
      <c r="M108" t="s">
        <v>4</v>
      </c>
      <c r="N108" t="s">
        <v>28</v>
      </c>
    </row>
    <row r="109" spans="1:14" x14ac:dyDescent="0.6">
      <c r="I109" s="2">
        <v>4</v>
      </c>
      <c r="J109">
        <v>4</v>
      </c>
      <c r="K109" t="s">
        <v>17</v>
      </c>
      <c r="L109" t="str">
        <f t="shared" si="1"/>
        <v>T</v>
      </c>
      <c r="M109" t="s">
        <v>4</v>
      </c>
      <c r="N109" t="s">
        <v>28</v>
      </c>
    </row>
    <row r="110" spans="1:14" x14ac:dyDescent="0.6">
      <c r="I110" s="2">
        <v>5</v>
      </c>
      <c r="J110">
        <v>5</v>
      </c>
      <c r="K110" t="s">
        <v>17</v>
      </c>
      <c r="L110" t="str">
        <f t="shared" si="1"/>
        <v>T</v>
      </c>
      <c r="M110" t="s">
        <v>4</v>
      </c>
      <c r="N110" t="s">
        <v>28</v>
      </c>
    </row>
    <row r="111" spans="1:14" x14ac:dyDescent="0.6">
      <c r="I111" s="2">
        <v>6</v>
      </c>
      <c r="J111">
        <v>6</v>
      </c>
      <c r="K111" t="s">
        <v>17</v>
      </c>
      <c r="L111" t="str">
        <f t="shared" si="1"/>
        <v>T</v>
      </c>
      <c r="M111" t="s">
        <v>3</v>
      </c>
      <c r="N111" t="s">
        <v>28</v>
      </c>
    </row>
    <row r="112" spans="1:14" x14ac:dyDescent="0.6">
      <c r="I112" s="2">
        <v>7</v>
      </c>
      <c r="J112">
        <v>7</v>
      </c>
      <c r="K112" t="s">
        <v>17</v>
      </c>
      <c r="L112" t="str">
        <f t="shared" si="1"/>
        <v>T</v>
      </c>
      <c r="M112" t="s">
        <v>4</v>
      </c>
      <c r="N112" t="s">
        <v>28</v>
      </c>
    </row>
    <row r="113" spans="1:15" x14ac:dyDescent="0.6">
      <c r="A113" t="s">
        <v>126</v>
      </c>
      <c r="B113" t="s">
        <v>23</v>
      </c>
      <c r="C113" t="s">
        <v>47</v>
      </c>
      <c r="D113" t="str">
        <f>IF(E113&gt;F113,"승",IF(E113&lt;F113,"패"))</f>
        <v>승</v>
      </c>
      <c r="E113">
        <v>6</v>
      </c>
      <c r="F113">
        <v>5</v>
      </c>
      <c r="G113" s="1">
        <f>E113/(E113+F113)</f>
        <v>0.54545454545454541</v>
      </c>
      <c r="H113" t="s">
        <v>129</v>
      </c>
      <c r="I113" s="2">
        <v>1</v>
      </c>
      <c r="J113" t="s">
        <v>559</v>
      </c>
      <c r="K113" t="s">
        <v>108</v>
      </c>
      <c r="L113" t="str">
        <f t="shared" si="1"/>
        <v>T</v>
      </c>
      <c r="M113" t="s">
        <v>4</v>
      </c>
      <c r="N113" t="s">
        <v>127</v>
      </c>
    </row>
    <row r="114" spans="1:15" x14ac:dyDescent="0.6">
      <c r="I114" s="2">
        <v>2</v>
      </c>
      <c r="J114">
        <v>2</v>
      </c>
      <c r="K114" t="s">
        <v>83</v>
      </c>
      <c r="L114" t="str">
        <f t="shared" si="1"/>
        <v>Z</v>
      </c>
      <c r="M114" t="s">
        <v>3</v>
      </c>
      <c r="N114" t="s">
        <v>128</v>
      </c>
    </row>
    <row r="115" spans="1:15" x14ac:dyDescent="0.6">
      <c r="I115" s="2">
        <v>3</v>
      </c>
      <c r="J115">
        <v>3</v>
      </c>
      <c r="K115" t="s">
        <v>108</v>
      </c>
      <c r="L115" t="str">
        <f t="shared" si="1"/>
        <v>T</v>
      </c>
      <c r="M115" t="s">
        <v>4</v>
      </c>
      <c r="N115" t="s">
        <v>127</v>
      </c>
    </row>
    <row r="116" spans="1:15" x14ac:dyDescent="0.6">
      <c r="I116" s="2">
        <v>4</v>
      </c>
      <c r="J116">
        <v>4</v>
      </c>
      <c r="K116" t="s">
        <v>83</v>
      </c>
      <c r="L116" t="str">
        <f t="shared" si="1"/>
        <v>Z</v>
      </c>
      <c r="M116" t="s">
        <v>4</v>
      </c>
      <c r="N116" t="s">
        <v>128</v>
      </c>
    </row>
    <row r="117" spans="1:15" x14ac:dyDescent="0.6">
      <c r="I117" s="2">
        <v>5</v>
      </c>
      <c r="J117">
        <v>5</v>
      </c>
      <c r="K117" t="s">
        <v>108</v>
      </c>
      <c r="L117" t="str">
        <f t="shared" si="1"/>
        <v>T</v>
      </c>
      <c r="M117" t="s">
        <v>4</v>
      </c>
      <c r="N117" t="s">
        <v>127</v>
      </c>
    </row>
    <row r="118" spans="1:15" x14ac:dyDescent="0.6">
      <c r="I118" s="2">
        <v>6</v>
      </c>
      <c r="J118">
        <v>6</v>
      </c>
      <c r="K118" t="s">
        <v>83</v>
      </c>
      <c r="L118" t="str">
        <f t="shared" si="1"/>
        <v>Z</v>
      </c>
      <c r="M118" t="s">
        <v>4</v>
      </c>
      <c r="N118" t="s">
        <v>128</v>
      </c>
    </row>
    <row r="119" spans="1:15" x14ac:dyDescent="0.6">
      <c r="I119" s="2">
        <v>7</v>
      </c>
      <c r="J119">
        <v>7</v>
      </c>
      <c r="K119" t="s">
        <v>108</v>
      </c>
      <c r="L119" t="str">
        <f t="shared" si="1"/>
        <v>T</v>
      </c>
      <c r="M119" t="s">
        <v>3</v>
      </c>
      <c r="N119" t="s">
        <v>127</v>
      </c>
    </row>
    <row r="120" spans="1:15" x14ac:dyDescent="0.6">
      <c r="I120" s="2">
        <v>8</v>
      </c>
      <c r="J120">
        <v>8</v>
      </c>
      <c r="K120" t="s">
        <v>83</v>
      </c>
      <c r="L120" t="str">
        <f t="shared" si="1"/>
        <v>Z</v>
      </c>
      <c r="M120" t="s">
        <v>3</v>
      </c>
      <c r="N120" t="s">
        <v>128</v>
      </c>
    </row>
    <row r="121" spans="1:15" x14ac:dyDescent="0.6">
      <c r="I121" s="2">
        <v>9</v>
      </c>
      <c r="J121">
        <v>9</v>
      </c>
      <c r="K121" t="s">
        <v>108</v>
      </c>
      <c r="L121" t="str">
        <f t="shared" si="1"/>
        <v>T</v>
      </c>
      <c r="M121" t="s">
        <v>3</v>
      </c>
      <c r="N121" t="s">
        <v>127</v>
      </c>
    </row>
    <row r="122" spans="1:15" x14ac:dyDescent="0.6">
      <c r="I122" s="2">
        <v>10</v>
      </c>
      <c r="J122">
        <v>10</v>
      </c>
      <c r="K122" t="s">
        <v>108</v>
      </c>
      <c r="L122" t="str">
        <f t="shared" si="1"/>
        <v>T</v>
      </c>
      <c r="M122" t="s">
        <v>3</v>
      </c>
      <c r="N122" t="s">
        <v>127</v>
      </c>
    </row>
    <row r="123" spans="1:15" x14ac:dyDescent="0.6">
      <c r="A123" t="s">
        <v>130</v>
      </c>
      <c r="B123" t="s">
        <v>131</v>
      </c>
      <c r="C123" t="s">
        <v>94</v>
      </c>
      <c r="D123" t="str">
        <f>IF(E123&gt;F123,"승",IF(E123&lt;F123,"패"))</f>
        <v>패</v>
      </c>
      <c r="E123">
        <f>COUNTIF(M123:M130,"승")</f>
        <v>3</v>
      </c>
      <c r="F123">
        <f>COUNTA(M123:M130)-E123</f>
        <v>5</v>
      </c>
      <c r="G123" s="1">
        <f>E123/(E123+F123)</f>
        <v>0.375</v>
      </c>
      <c r="I123" s="2">
        <v>1</v>
      </c>
      <c r="J123" t="s">
        <v>559</v>
      </c>
      <c r="K123" t="s">
        <v>8</v>
      </c>
      <c r="L123" t="str">
        <f t="shared" si="1"/>
        <v>P</v>
      </c>
      <c r="M123" t="s">
        <v>4</v>
      </c>
      <c r="N123" t="s">
        <v>132</v>
      </c>
      <c r="O123" t="s">
        <v>593</v>
      </c>
    </row>
    <row r="124" spans="1:15" x14ac:dyDescent="0.6">
      <c r="I124" s="2">
        <v>2</v>
      </c>
      <c r="J124">
        <v>2</v>
      </c>
      <c r="K124" t="s">
        <v>16</v>
      </c>
      <c r="L124" t="str">
        <f t="shared" si="1"/>
        <v>T</v>
      </c>
      <c r="M124" t="s">
        <v>3</v>
      </c>
      <c r="N124" t="s">
        <v>32</v>
      </c>
      <c r="O124" t="s">
        <v>594</v>
      </c>
    </row>
    <row r="125" spans="1:15" x14ac:dyDescent="0.6">
      <c r="I125" s="2">
        <v>3</v>
      </c>
      <c r="J125">
        <v>3</v>
      </c>
      <c r="K125" t="s">
        <v>35</v>
      </c>
      <c r="L125" t="str">
        <f t="shared" si="1"/>
        <v>Z</v>
      </c>
      <c r="M125" t="s">
        <v>4</v>
      </c>
      <c r="N125" t="s">
        <v>27</v>
      </c>
      <c r="O125" t="s">
        <v>595</v>
      </c>
    </row>
    <row r="126" spans="1:15" x14ac:dyDescent="0.6">
      <c r="I126" s="2">
        <v>4</v>
      </c>
      <c r="J126">
        <v>4</v>
      </c>
      <c r="K126" t="s">
        <v>76</v>
      </c>
      <c r="L126" t="str">
        <f t="shared" si="1"/>
        <v>T</v>
      </c>
      <c r="M126" t="s">
        <v>3</v>
      </c>
      <c r="N126" t="s">
        <v>29</v>
      </c>
      <c r="O126" t="s">
        <v>596</v>
      </c>
    </row>
    <row r="127" spans="1:15" x14ac:dyDescent="0.6">
      <c r="I127" s="2">
        <v>5</v>
      </c>
      <c r="J127">
        <v>5</v>
      </c>
      <c r="K127" t="s">
        <v>39</v>
      </c>
      <c r="L127" t="str">
        <f t="shared" si="1"/>
        <v>Z</v>
      </c>
      <c r="M127" t="s">
        <v>4</v>
      </c>
      <c r="N127" t="s">
        <v>133</v>
      </c>
      <c r="O127" t="s">
        <v>597</v>
      </c>
    </row>
    <row r="128" spans="1:15" x14ac:dyDescent="0.6">
      <c r="I128" s="2">
        <v>6</v>
      </c>
      <c r="J128">
        <v>6</v>
      </c>
      <c r="K128" t="s">
        <v>19</v>
      </c>
      <c r="L128" t="str">
        <f t="shared" si="1"/>
        <v>P</v>
      </c>
      <c r="M128" t="s">
        <v>3</v>
      </c>
      <c r="N128" t="s">
        <v>134</v>
      </c>
      <c r="O128" t="s">
        <v>599</v>
      </c>
    </row>
    <row r="129" spans="1:15" x14ac:dyDescent="0.6">
      <c r="I129" s="2">
        <v>7</v>
      </c>
      <c r="J129">
        <v>7</v>
      </c>
      <c r="K129" t="s">
        <v>18</v>
      </c>
      <c r="L129" t="str">
        <f t="shared" si="1"/>
        <v>Z</v>
      </c>
      <c r="M129" t="s">
        <v>4</v>
      </c>
      <c r="N129" t="s">
        <v>135</v>
      </c>
      <c r="O129" t="s">
        <v>598</v>
      </c>
    </row>
    <row r="130" spans="1:15" x14ac:dyDescent="0.6">
      <c r="I130" s="2">
        <v>8</v>
      </c>
      <c r="J130">
        <v>8</v>
      </c>
      <c r="K130" t="s">
        <v>16</v>
      </c>
      <c r="L130" t="str">
        <f t="shared" si="1"/>
        <v>T</v>
      </c>
      <c r="M130" t="s">
        <v>4</v>
      </c>
      <c r="N130" t="s">
        <v>32</v>
      </c>
      <c r="O130" t="s">
        <v>600</v>
      </c>
    </row>
    <row r="131" spans="1:15" x14ac:dyDescent="0.6">
      <c r="A131" t="s">
        <v>136</v>
      </c>
      <c r="B131" t="s">
        <v>23</v>
      </c>
      <c r="C131" t="s">
        <v>170</v>
      </c>
      <c r="D131" t="str">
        <f>IF(E131&gt;F131,"승",IF(E131&lt;F131,"패"))</f>
        <v>패</v>
      </c>
      <c r="E131">
        <f>COUNTIF(M131:M137,"승")</f>
        <v>3</v>
      </c>
      <c r="F131">
        <f>COUNTA(M131:M137)-E131</f>
        <v>4</v>
      </c>
      <c r="G131" s="1">
        <f>E131/(E131+F131)</f>
        <v>0.42857142857142855</v>
      </c>
      <c r="I131" s="2">
        <v>1</v>
      </c>
      <c r="J131" t="s">
        <v>559</v>
      </c>
      <c r="K131" t="s">
        <v>8</v>
      </c>
      <c r="L131" t="str">
        <f t="shared" ref="L131:L194" si="2">INDEX($R$2:$R$99,MATCH(K131,$Q$2:$Q$99,0))</f>
        <v>P</v>
      </c>
      <c r="M131" t="s">
        <v>3</v>
      </c>
      <c r="N131" t="s">
        <v>73</v>
      </c>
      <c r="O131" t="s">
        <v>601</v>
      </c>
    </row>
    <row r="132" spans="1:15" x14ac:dyDescent="0.6">
      <c r="I132" s="2">
        <v>2</v>
      </c>
      <c r="J132">
        <v>2</v>
      </c>
      <c r="K132" t="s">
        <v>19</v>
      </c>
      <c r="L132" t="str">
        <f t="shared" si="2"/>
        <v>P</v>
      </c>
      <c r="M132" t="s">
        <v>4</v>
      </c>
      <c r="N132" t="s">
        <v>137</v>
      </c>
      <c r="O132" t="s">
        <v>602</v>
      </c>
    </row>
    <row r="133" spans="1:15" x14ac:dyDescent="0.6">
      <c r="I133" s="2">
        <v>3</v>
      </c>
      <c r="J133">
        <v>3</v>
      </c>
      <c r="K133" t="s">
        <v>67</v>
      </c>
      <c r="L133" t="str">
        <f t="shared" si="2"/>
        <v>P</v>
      </c>
      <c r="M133" t="s">
        <v>3</v>
      </c>
      <c r="N133" t="s">
        <v>138</v>
      </c>
      <c r="O133" t="s">
        <v>603</v>
      </c>
    </row>
    <row r="134" spans="1:15" x14ac:dyDescent="0.6">
      <c r="I134" s="2">
        <v>4</v>
      </c>
      <c r="J134">
        <v>4</v>
      </c>
      <c r="K134" t="s">
        <v>8</v>
      </c>
      <c r="L134" t="str">
        <f t="shared" si="2"/>
        <v>P</v>
      </c>
      <c r="M134" t="s">
        <v>3</v>
      </c>
      <c r="N134" t="s">
        <v>73</v>
      </c>
      <c r="O134" t="s">
        <v>604</v>
      </c>
    </row>
    <row r="135" spans="1:15" x14ac:dyDescent="0.6">
      <c r="I135" s="2">
        <v>5</v>
      </c>
      <c r="J135">
        <v>5</v>
      </c>
      <c r="K135" t="s">
        <v>19</v>
      </c>
      <c r="L135" t="str">
        <f t="shared" si="2"/>
        <v>P</v>
      </c>
      <c r="M135" t="s">
        <v>4</v>
      </c>
      <c r="N135" t="s">
        <v>137</v>
      </c>
      <c r="O135" t="s">
        <v>605</v>
      </c>
    </row>
    <row r="136" spans="1:15" x14ac:dyDescent="0.6">
      <c r="I136" s="2">
        <v>6</v>
      </c>
      <c r="J136">
        <v>6</v>
      </c>
      <c r="K136" t="s">
        <v>67</v>
      </c>
      <c r="L136" t="str">
        <f t="shared" si="2"/>
        <v>P</v>
      </c>
      <c r="M136" t="s">
        <v>4</v>
      </c>
      <c r="N136" t="s">
        <v>138</v>
      </c>
      <c r="O136" t="s">
        <v>606</v>
      </c>
    </row>
    <row r="137" spans="1:15" x14ac:dyDescent="0.6">
      <c r="I137" s="2">
        <v>7</v>
      </c>
      <c r="J137">
        <v>7</v>
      </c>
      <c r="K137" t="s">
        <v>67</v>
      </c>
      <c r="L137" t="str">
        <f t="shared" si="2"/>
        <v>P</v>
      </c>
      <c r="M137" t="s">
        <v>4</v>
      </c>
      <c r="N137" t="s">
        <v>138</v>
      </c>
      <c r="O137" t="s">
        <v>607</v>
      </c>
    </row>
    <row r="138" spans="1:15" x14ac:dyDescent="0.6">
      <c r="A138" t="s">
        <v>139</v>
      </c>
      <c r="C138" t="s">
        <v>47</v>
      </c>
      <c r="D138" t="str">
        <f>IF(E138&gt;F138,"승",IF(E138&lt;F138,"패"))</f>
        <v>승</v>
      </c>
      <c r="E138">
        <f>COUNTIF(M138:M144,"승")</f>
        <v>5</v>
      </c>
      <c r="F138">
        <f>COUNTA(M138:M144)-E138</f>
        <v>2</v>
      </c>
      <c r="G138" s="1">
        <f>E138/(E138+F138)</f>
        <v>0.7142857142857143</v>
      </c>
      <c r="I138" s="2">
        <v>1</v>
      </c>
      <c r="J138" t="s">
        <v>559</v>
      </c>
      <c r="K138" t="s">
        <v>16</v>
      </c>
      <c r="L138" t="str">
        <f t="shared" si="2"/>
        <v>T</v>
      </c>
      <c r="M138" t="s">
        <v>3</v>
      </c>
      <c r="N138" t="s">
        <v>114</v>
      </c>
      <c r="O138" t="s">
        <v>608</v>
      </c>
    </row>
    <row r="139" spans="1:15" x14ac:dyDescent="0.6">
      <c r="I139" s="2">
        <v>2</v>
      </c>
      <c r="J139">
        <v>2</v>
      </c>
      <c r="K139" t="s">
        <v>16</v>
      </c>
      <c r="L139" t="str">
        <f t="shared" si="2"/>
        <v>T</v>
      </c>
      <c r="M139" t="s">
        <v>3</v>
      </c>
      <c r="N139" t="s">
        <v>114</v>
      </c>
      <c r="O139" t="s">
        <v>609</v>
      </c>
    </row>
    <row r="140" spans="1:15" x14ac:dyDescent="0.6">
      <c r="I140" s="2">
        <v>3</v>
      </c>
      <c r="J140">
        <v>3</v>
      </c>
      <c r="K140" t="s">
        <v>16</v>
      </c>
      <c r="L140" t="str">
        <f t="shared" si="2"/>
        <v>T</v>
      </c>
      <c r="M140" t="s">
        <v>3</v>
      </c>
      <c r="N140" t="s">
        <v>114</v>
      </c>
      <c r="O140" t="s">
        <v>610</v>
      </c>
    </row>
    <row r="141" spans="1:15" x14ac:dyDescent="0.6">
      <c r="I141" s="2">
        <v>4</v>
      </c>
      <c r="J141">
        <v>4</v>
      </c>
      <c r="K141" t="s">
        <v>16</v>
      </c>
      <c r="L141" t="str">
        <f t="shared" si="2"/>
        <v>T</v>
      </c>
      <c r="M141" t="s">
        <v>4</v>
      </c>
      <c r="N141" t="s">
        <v>114</v>
      </c>
      <c r="O141" t="s">
        <v>611</v>
      </c>
    </row>
    <row r="142" spans="1:15" x14ac:dyDescent="0.6">
      <c r="I142" s="2">
        <v>5</v>
      </c>
      <c r="J142">
        <v>5</v>
      </c>
      <c r="K142" t="s">
        <v>16</v>
      </c>
      <c r="L142" t="str">
        <f t="shared" si="2"/>
        <v>T</v>
      </c>
      <c r="M142" t="s">
        <v>3</v>
      </c>
      <c r="N142" t="s">
        <v>114</v>
      </c>
      <c r="O142" t="s">
        <v>612</v>
      </c>
    </row>
    <row r="143" spans="1:15" x14ac:dyDescent="0.6">
      <c r="I143" s="2">
        <v>6</v>
      </c>
      <c r="J143">
        <v>6</v>
      </c>
      <c r="K143" t="s">
        <v>16</v>
      </c>
      <c r="L143" t="str">
        <f t="shared" si="2"/>
        <v>T</v>
      </c>
      <c r="M143" t="s">
        <v>3</v>
      </c>
      <c r="N143" t="s">
        <v>114</v>
      </c>
      <c r="O143" t="s">
        <v>613</v>
      </c>
    </row>
    <row r="144" spans="1:15" x14ac:dyDescent="0.6">
      <c r="I144" s="2">
        <v>7</v>
      </c>
      <c r="J144">
        <v>7</v>
      </c>
      <c r="K144" t="s">
        <v>16</v>
      </c>
      <c r="L144" t="str">
        <f t="shared" si="2"/>
        <v>T</v>
      </c>
      <c r="M144" t="s">
        <v>4</v>
      </c>
      <c r="N144" t="s">
        <v>114</v>
      </c>
      <c r="O144" t="s">
        <v>614</v>
      </c>
    </row>
    <row r="145" spans="1:15" x14ac:dyDescent="0.6">
      <c r="A145" t="s">
        <v>140</v>
      </c>
      <c r="C145" t="s">
        <v>47</v>
      </c>
      <c r="D145" t="str">
        <f>IF(E145&gt;F145,"승",IF(E145&lt;F145,"패"))</f>
        <v>승</v>
      </c>
      <c r="E145">
        <f>COUNTIF(M145:M151,"승")</f>
        <v>4</v>
      </c>
      <c r="F145">
        <f>COUNTA(M145:M151)-E145</f>
        <v>3</v>
      </c>
      <c r="G145" s="1">
        <f>E145/(E145+F145)</f>
        <v>0.5714285714285714</v>
      </c>
      <c r="I145" s="2">
        <v>1</v>
      </c>
      <c r="J145" t="s">
        <v>559</v>
      </c>
      <c r="K145" t="s">
        <v>76</v>
      </c>
      <c r="L145" t="str">
        <f t="shared" si="2"/>
        <v>T</v>
      </c>
      <c r="M145" t="s">
        <v>3</v>
      </c>
      <c r="N145" t="s">
        <v>29</v>
      </c>
      <c r="O145" t="s">
        <v>615</v>
      </c>
    </row>
    <row r="146" spans="1:15" x14ac:dyDescent="0.6">
      <c r="I146" s="2">
        <v>2</v>
      </c>
      <c r="J146">
        <v>2</v>
      </c>
      <c r="K146" t="s">
        <v>108</v>
      </c>
      <c r="L146" t="str">
        <f t="shared" si="2"/>
        <v>T</v>
      </c>
      <c r="M146" t="s">
        <v>4</v>
      </c>
      <c r="N146" t="s">
        <v>141</v>
      </c>
      <c r="O146" t="s">
        <v>616</v>
      </c>
    </row>
    <row r="147" spans="1:15" x14ac:dyDescent="0.6">
      <c r="I147" s="2">
        <v>3</v>
      </c>
      <c r="J147">
        <v>3</v>
      </c>
      <c r="K147" t="s">
        <v>76</v>
      </c>
      <c r="L147" t="str">
        <f t="shared" si="2"/>
        <v>T</v>
      </c>
      <c r="M147" t="s">
        <v>3</v>
      </c>
      <c r="N147" t="s">
        <v>29</v>
      </c>
      <c r="O147" t="s">
        <v>617</v>
      </c>
    </row>
    <row r="148" spans="1:15" x14ac:dyDescent="0.6">
      <c r="I148" s="2">
        <v>4</v>
      </c>
      <c r="J148">
        <v>4</v>
      </c>
      <c r="K148" t="s">
        <v>108</v>
      </c>
      <c r="L148" t="str">
        <f t="shared" si="2"/>
        <v>T</v>
      </c>
      <c r="M148" t="s">
        <v>3</v>
      </c>
      <c r="N148" t="s">
        <v>141</v>
      </c>
      <c r="O148" t="s">
        <v>618</v>
      </c>
    </row>
    <row r="149" spans="1:15" x14ac:dyDescent="0.6">
      <c r="I149" s="2">
        <v>5</v>
      </c>
      <c r="J149">
        <v>5</v>
      </c>
      <c r="K149" t="s">
        <v>76</v>
      </c>
      <c r="L149" t="str">
        <f t="shared" si="2"/>
        <v>T</v>
      </c>
      <c r="M149" t="s">
        <v>3</v>
      </c>
      <c r="N149" t="s">
        <v>29</v>
      </c>
      <c r="O149" t="s">
        <v>619</v>
      </c>
    </row>
    <row r="150" spans="1:15" x14ac:dyDescent="0.6">
      <c r="I150" s="2">
        <v>6</v>
      </c>
      <c r="J150">
        <v>6</v>
      </c>
      <c r="K150" t="s">
        <v>108</v>
      </c>
      <c r="L150" t="str">
        <f t="shared" si="2"/>
        <v>T</v>
      </c>
      <c r="M150" t="s">
        <v>4</v>
      </c>
      <c r="N150" t="s">
        <v>141</v>
      </c>
      <c r="O150" t="s">
        <v>620</v>
      </c>
    </row>
    <row r="151" spans="1:15" x14ac:dyDescent="0.6">
      <c r="I151" s="2">
        <v>7</v>
      </c>
      <c r="J151">
        <v>7</v>
      </c>
      <c r="K151" t="s">
        <v>76</v>
      </c>
      <c r="L151" t="str">
        <f t="shared" si="2"/>
        <v>T</v>
      </c>
      <c r="M151" t="s">
        <v>4</v>
      </c>
      <c r="N151" t="s">
        <v>29</v>
      </c>
      <c r="O151" t="s">
        <v>621</v>
      </c>
    </row>
    <row r="152" spans="1:15" x14ac:dyDescent="0.6">
      <c r="A152" t="s">
        <v>142</v>
      </c>
      <c r="B152" t="s">
        <v>82</v>
      </c>
      <c r="C152" t="s">
        <v>94</v>
      </c>
      <c r="D152" t="str">
        <f>IF(E152&gt;F152,"승",IF(E152&lt;F152,"패"))</f>
        <v>패</v>
      </c>
      <c r="E152">
        <f>COUNTIF(M152:M157,"승")</f>
        <v>0</v>
      </c>
      <c r="F152">
        <f>COUNTA(M152:M157)-E152</f>
        <v>6</v>
      </c>
      <c r="G152" s="1">
        <f>E152/(E152+F152)</f>
        <v>0</v>
      </c>
      <c r="H152" s="1" t="s">
        <v>144</v>
      </c>
      <c r="I152" s="2">
        <v>1</v>
      </c>
      <c r="J152" t="s">
        <v>559</v>
      </c>
      <c r="K152" t="s">
        <v>8</v>
      </c>
      <c r="L152" t="str">
        <f t="shared" si="2"/>
        <v>P</v>
      </c>
      <c r="M152" t="s">
        <v>4</v>
      </c>
      <c r="N152" t="s">
        <v>143</v>
      </c>
      <c r="O152" t="s">
        <v>622</v>
      </c>
    </row>
    <row r="153" spans="1:15" x14ac:dyDescent="0.6">
      <c r="I153" s="2">
        <v>2</v>
      </c>
      <c r="J153">
        <v>2</v>
      </c>
      <c r="K153" t="s">
        <v>66</v>
      </c>
      <c r="L153" t="str">
        <f t="shared" si="2"/>
        <v>Z</v>
      </c>
      <c r="M153" t="s">
        <v>4</v>
      </c>
      <c r="N153" t="s">
        <v>91</v>
      </c>
      <c r="O153" t="s">
        <v>623</v>
      </c>
    </row>
    <row r="154" spans="1:15" x14ac:dyDescent="0.6">
      <c r="I154" s="2">
        <v>3</v>
      </c>
      <c r="J154">
        <v>3</v>
      </c>
      <c r="K154" t="s">
        <v>76</v>
      </c>
      <c r="L154" t="str">
        <f t="shared" si="2"/>
        <v>T</v>
      </c>
      <c r="M154" t="s">
        <v>4</v>
      </c>
      <c r="N154" t="s">
        <v>86</v>
      </c>
      <c r="O154" t="s">
        <v>624</v>
      </c>
    </row>
    <row r="155" spans="1:15" x14ac:dyDescent="0.6">
      <c r="I155" s="2">
        <v>4</v>
      </c>
      <c r="J155" t="s">
        <v>559</v>
      </c>
      <c r="K155" t="s">
        <v>8</v>
      </c>
      <c r="L155" t="str">
        <f t="shared" si="2"/>
        <v>P</v>
      </c>
      <c r="M155" t="s">
        <v>4</v>
      </c>
      <c r="N155" t="s">
        <v>87</v>
      </c>
      <c r="O155" t="s">
        <v>625</v>
      </c>
    </row>
    <row r="156" spans="1:15" x14ac:dyDescent="0.6">
      <c r="I156" s="2">
        <v>5</v>
      </c>
      <c r="J156">
        <v>2</v>
      </c>
      <c r="K156" t="s">
        <v>18</v>
      </c>
      <c r="L156" t="str">
        <f t="shared" si="2"/>
        <v>Z</v>
      </c>
      <c r="M156" t="s">
        <v>4</v>
      </c>
      <c r="N156" t="s">
        <v>89</v>
      </c>
      <c r="O156" t="s">
        <v>626</v>
      </c>
    </row>
    <row r="157" spans="1:15" x14ac:dyDescent="0.6">
      <c r="I157" s="2">
        <v>6</v>
      </c>
      <c r="J157">
        <v>3</v>
      </c>
      <c r="K157" t="s">
        <v>76</v>
      </c>
      <c r="L157" t="str">
        <f t="shared" si="2"/>
        <v>T</v>
      </c>
      <c r="M157" t="s">
        <v>4</v>
      </c>
      <c r="N157" t="s">
        <v>86</v>
      </c>
      <c r="O157" t="s">
        <v>627</v>
      </c>
    </row>
    <row r="158" spans="1:15" x14ac:dyDescent="0.6">
      <c r="A158" t="s">
        <v>142</v>
      </c>
      <c r="C158" t="s">
        <v>47</v>
      </c>
      <c r="D158" t="str">
        <f>IF(E158&gt;F158,"승",IF(E158&lt;F158,"패"))</f>
        <v>승</v>
      </c>
      <c r="E158">
        <f>COUNTIF(M158:M164,"승")</f>
        <v>4</v>
      </c>
      <c r="F158">
        <f>COUNTA(M158:M164)-E158</f>
        <v>3</v>
      </c>
      <c r="G158" s="1">
        <f>E158/(E158+F158)</f>
        <v>0.5714285714285714</v>
      </c>
      <c r="H158" s="1"/>
      <c r="I158" s="2">
        <v>1</v>
      </c>
      <c r="J158" t="s">
        <v>559</v>
      </c>
      <c r="K158" t="s">
        <v>67</v>
      </c>
      <c r="L158" t="str">
        <f t="shared" si="2"/>
        <v>P</v>
      </c>
      <c r="M158" t="s">
        <v>3</v>
      </c>
      <c r="N158" t="s">
        <v>32</v>
      </c>
      <c r="O158" t="s">
        <v>628</v>
      </c>
    </row>
    <row r="159" spans="1:15" x14ac:dyDescent="0.6">
      <c r="I159" s="2">
        <v>2</v>
      </c>
      <c r="J159">
        <v>2</v>
      </c>
      <c r="K159" t="s">
        <v>145</v>
      </c>
      <c r="L159" t="str">
        <f t="shared" si="2"/>
        <v>P</v>
      </c>
      <c r="M159" t="s">
        <v>3</v>
      </c>
      <c r="N159" t="s">
        <v>30</v>
      </c>
      <c r="O159" t="s">
        <v>629</v>
      </c>
    </row>
    <row r="160" spans="1:15" x14ac:dyDescent="0.6">
      <c r="I160" s="2">
        <v>3</v>
      </c>
      <c r="J160">
        <v>3</v>
      </c>
      <c r="K160" t="s">
        <v>67</v>
      </c>
      <c r="L160" t="str">
        <f t="shared" si="2"/>
        <v>P</v>
      </c>
      <c r="M160" t="s">
        <v>4</v>
      </c>
      <c r="N160" t="s">
        <v>32</v>
      </c>
      <c r="O160" t="s">
        <v>630</v>
      </c>
    </row>
    <row r="161" spans="1:15" x14ac:dyDescent="0.6">
      <c r="I161" s="2">
        <v>4</v>
      </c>
      <c r="J161">
        <v>4</v>
      </c>
      <c r="K161" t="s">
        <v>145</v>
      </c>
      <c r="L161" t="str">
        <f t="shared" si="2"/>
        <v>P</v>
      </c>
      <c r="M161" t="s">
        <v>4</v>
      </c>
      <c r="N161" t="s">
        <v>30</v>
      </c>
      <c r="O161" t="s">
        <v>631</v>
      </c>
    </row>
    <row r="162" spans="1:15" x14ac:dyDescent="0.6">
      <c r="I162" s="2">
        <v>5</v>
      </c>
      <c r="J162">
        <v>5</v>
      </c>
      <c r="K162" t="s">
        <v>67</v>
      </c>
      <c r="L162" t="str">
        <f t="shared" si="2"/>
        <v>P</v>
      </c>
      <c r="M162" t="s">
        <v>3</v>
      </c>
      <c r="N162" t="s">
        <v>32</v>
      </c>
      <c r="O162" t="s">
        <v>632</v>
      </c>
    </row>
    <row r="163" spans="1:15" x14ac:dyDescent="0.6">
      <c r="I163" s="2">
        <v>6</v>
      </c>
      <c r="J163">
        <v>6</v>
      </c>
      <c r="K163" t="s">
        <v>145</v>
      </c>
      <c r="L163" t="str">
        <f t="shared" si="2"/>
        <v>P</v>
      </c>
      <c r="M163" t="s">
        <v>3</v>
      </c>
      <c r="N163" t="s">
        <v>30</v>
      </c>
      <c r="O163" t="s">
        <v>633</v>
      </c>
    </row>
    <row r="164" spans="1:15" x14ac:dyDescent="0.6">
      <c r="I164" s="2">
        <v>7</v>
      </c>
      <c r="J164">
        <v>7</v>
      </c>
      <c r="K164" t="s">
        <v>67</v>
      </c>
      <c r="L164" t="str">
        <f t="shared" si="2"/>
        <v>P</v>
      </c>
      <c r="M164" t="s">
        <v>4</v>
      </c>
      <c r="N164" t="s">
        <v>32</v>
      </c>
      <c r="O164" t="s">
        <v>634</v>
      </c>
    </row>
    <row r="165" spans="1:15" x14ac:dyDescent="0.6">
      <c r="A165" t="s">
        <v>146</v>
      </c>
      <c r="B165" t="s">
        <v>93</v>
      </c>
      <c r="C165" t="s">
        <v>94</v>
      </c>
      <c r="D165" t="str">
        <f>IF(E165&gt;F165,"승",IF(E165&lt;F165,"패"))</f>
        <v>승</v>
      </c>
      <c r="E165">
        <f>COUNTIF(M165:M169,"승")</f>
        <v>4</v>
      </c>
      <c r="F165">
        <f>COUNTA(M165:M169)-E165</f>
        <v>1</v>
      </c>
      <c r="G165" s="1">
        <f>E165/(E165+F165)</f>
        <v>0.8</v>
      </c>
      <c r="H165" s="1"/>
      <c r="I165" s="2">
        <v>1</v>
      </c>
      <c r="J165" t="s">
        <v>559</v>
      </c>
      <c r="K165" t="s">
        <v>66</v>
      </c>
      <c r="L165" t="str">
        <f t="shared" si="2"/>
        <v>Z</v>
      </c>
      <c r="M165" t="s">
        <v>3</v>
      </c>
      <c r="N165" t="s">
        <v>95</v>
      </c>
      <c r="O165" t="s">
        <v>635</v>
      </c>
    </row>
    <row r="166" spans="1:15" x14ac:dyDescent="0.6">
      <c r="I166" s="2">
        <v>2</v>
      </c>
      <c r="J166">
        <v>2</v>
      </c>
      <c r="K166" t="s">
        <v>18</v>
      </c>
      <c r="L166" t="str">
        <f t="shared" si="2"/>
        <v>Z</v>
      </c>
      <c r="M166" t="s">
        <v>3</v>
      </c>
      <c r="N166" t="s">
        <v>17</v>
      </c>
      <c r="O166" t="s">
        <v>636</v>
      </c>
    </row>
    <row r="167" spans="1:15" x14ac:dyDescent="0.6">
      <c r="I167" s="2">
        <v>3</v>
      </c>
      <c r="J167">
        <v>3</v>
      </c>
      <c r="K167" t="s">
        <v>39</v>
      </c>
      <c r="L167" t="str">
        <f t="shared" si="2"/>
        <v>Z</v>
      </c>
      <c r="M167" t="s">
        <v>4</v>
      </c>
      <c r="N167" t="s">
        <v>96</v>
      </c>
      <c r="O167" t="s">
        <v>637</v>
      </c>
    </row>
    <row r="168" spans="1:15" x14ac:dyDescent="0.6">
      <c r="I168" s="2">
        <v>4</v>
      </c>
      <c r="J168">
        <v>4</v>
      </c>
      <c r="K168" t="s">
        <v>66</v>
      </c>
      <c r="L168" t="str">
        <f t="shared" si="2"/>
        <v>Z</v>
      </c>
      <c r="M168" t="s">
        <v>3</v>
      </c>
      <c r="N168" t="s">
        <v>95</v>
      </c>
      <c r="O168" t="s">
        <v>638</v>
      </c>
    </row>
    <row r="169" spans="1:15" x14ac:dyDescent="0.6">
      <c r="I169" s="2">
        <v>5</v>
      </c>
      <c r="J169">
        <v>5</v>
      </c>
      <c r="K169" t="s">
        <v>18</v>
      </c>
      <c r="L169" t="str">
        <f t="shared" si="2"/>
        <v>Z</v>
      </c>
      <c r="M169" t="s">
        <v>3</v>
      </c>
      <c r="N169" t="s">
        <v>17</v>
      </c>
      <c r="O169" t="s">
        <v>639</v>
      </c>
    </row>
    <row r="170" spans="1:15" x14ac:dyDescent="0.6">
      <c r="A170" t="s">
        <v>147</v>
      </c>
      <c r="B170" t="s">
        <v>65</v>
      </c>
      <c r="C170" t="s">
        <v>94</v>
      </c>
      <c r="D170" t="str">
        <f>IF(E170&gt;F170,"승",IF(E170&lt;F170,"패"))</f>
        <v>패</v>
      </c>
      <c r="E170">
        <f>COUNTIF(M170:M175,"승")</f>
        <v>2</v>
      </c>
      <c r="F170">
        <f>COUNTA(M170:M175)-E170</f>
        <v>4</v>
      </c>
      <c r="G170" s="1">
        <f>E170/(E170+F170)</f>
        <v>0.33333333333333331</v>
      </c>
      <c r="I170" s="2">
        <v>1</v>
      </c>
      <c r="J170" t="s">
        <v>559</v>
      </c>
      <c r="K170" t="s">
        <v>39</v>
      </c>
      <c r="L170" t="str">
        <f t="shared" si="2"/>
        <v>Z</v>
      </c>
      <c r="M170" t="s">
        <v>4</v>
      </c>
      <c r="N170" t="s">
        <v>71</v>
      </c>
      <c r="O170" t="s">
        <v>640</v>
      </c>
    </row>
    <row r="171" spans="1:15" x14ac:dyDescent="0.6">
      <c r="I171" s="2">
        <v>2</v>
      </c>
      <c r="J171">
        <v>2</v>
      </c>
      <c r="K171" t="s">
        <v>66</v>
      </c>
      <c r="L171" t="str">
        <f t="shared" si="2"/>
        <v>Z</v>
      </c>
      <c r="M171" t="s">
        <v>3</v>
      </c>
      <c r="N171" t="s">
        <v>70</v>
      </c>
      <c r="O171" t="s">
        <v>641</v>
      </c>
    </row>
    <row r="172" spans="1:15" x14ac:dyDescent="0.6">
      <c r="I172" s="2">
        <v>3</v>
      </c>
      <c r="J172">
        <v>3</v>
      </c>
      <c r="K172" t="s">
        <v>18</v>
      </c>
      <c r="L172" t="str">
        <f t="shared" si="2"/>
        <v>Z</v>
      </c>
      <c r="M172" t="s">
        <v>3</v>
      </c>
      <c r="N172" t="s">
        <v>77</v>
      </c>
      <c r="O172" t="s">
        <v>642</v>
      </c>
    </row>
    <row r="173" spans="1:15" x14ac:dyDescent="0.6">
      <c r="I173" s="2">
        <v>4</v>
      </c>
      <c r="J173">
        <v>4</v>
      </c>
      <c r="K173" t="s">
        <v>39</v>
      </c>
      <c r="L173" t="str">
        <f t="shared" si="2"/>
        <v>Z</v>
      </c>
      <c r="M173" t="s">
        <v>4</v>
      </c>
      <c r="N173" t="s">
        <v>71</v>
      </c>
      <c r="O173" t="s">
        <v>643</v>
      </c>
    </row>
    <row r="174" spans="1:15" x14ac:dyDescent="0.6">
      <c r="I174" s="2">
        <v>5</v>
      </c>
      <c r="J174">
        <v>5</v>
      </c>
      <c r="K174" t="s">
        <v>66</v>
      </c>
      <c r="L174" t="str">
        <f t="shared" si="2"/>
        <v>Z</v>
      </c>
      <c r="M174" t="s">
        <v>4</v>
      </c>
      <c r="N174" t="s">
        <v>70</v>
      </c>
      <c r="O174" t="s">
        <v>644</v>
      </c>
    </row>
    <row r="175" spans="1:15" x14ac:dyDescent="0.6">
      <c r="I175" s="2">
        <v>6</v>
      </c>
      <c r="J175">
        <v>6</v>
      </c>
      <c r="K175" t="s">
        <v>18</v>
      </c>
      <c r="L175" t="str">
        <f t="shared" si="2"/>
        <v>Z</v>
      </c>
      <c r="M175" t="s">
        <v>4</v>
      </c>
      <c r="N175" t="s">
        <v>77</v>
      </c>
      <c r="O175" t="s">
        <v>645</v>
      </c>
    </row>
    <row r="176" spans="1:15" x14ac:dyDescent="0.6">
      <c r="A176" t="s">
        <v>148</v>
      </c>
      <c r="B176" t="s">
        <v>117</v>
      </c>
      <c r="C176" t="s">
        <v>55</v>
      </c>
      <c r="D176" t="str">
        <f>IF(E176&gt;F176,"승",IF(E176&lt;F176,"패"))</f>
        <v>패</v>
      </c>
      <c r="E176">
        <f>COUNTIF(M176:M183,"승")</f>
        <v>3</v>
      </c>
      <c r="F176">
        <f>COUNTA(M176:M183)-E176</f>
        <v>5</v>
      </c>
      <c r="G176" s="1">
        <f>E176/(E176+F176)</f>
        <v>0.375</v>
      </c>
      <c r="I176" s="2">
        <v>1</v>
      </c>
      <c r="J176" t="s">
        <v>559</v>
      </c>
      <c r="K176" t="s">
        <v>8</v>
      </c>
      <c r="L176" t="str">
        <f t="shared" si="2"/>
        <v>P</v>
      </c>
      <c r="M176" t="s">
        <v>3</v>
      </c>
      <c r="N176" t="s">
        <v>149</v>
      </c>
      <c r="O176" t="s">
        <v>646</v>
      </c>
    </row>
    <row r="177" spans="1:15" x14ac:dyDescent="0.6">
      <c r="I177" s="2">
        <v>2</v>
      </c>
      <c r="J177">
        <v>2</v>
      </c>
      <c r="K177" t="s">
        <v>76</v>
      </c>
      <c r="L177" t="str">
        <f t="shared" si="2"/>
        <v>T</v>
      </c>
      <c r="M177" t="s">
        <v>3</v>
      </c>
      <c r="N177" t="s">
        <v>120</v>
      </c>
      <c r="O177" t="s">
        <v>647</v>
      </c>
    </row>
    <row r="178" spans="1:15" x14ac:dyDescent="0.6">
      <c r="I178" s="2">
        <v>3</v>
      </c>
      <c r="J178">
        <v>3</v>
      </c>
      <c r="K178" t="s">
        <v>18</v>
      </c>
      <c r="L178" t="str">
        <f t="shared" si="2"/>
        <v>Z</v>
      </c>
      <c r="M178" t="s">
        <v>4</v>
      </c>
      <c r="N178" t="s">
        <v>150</v>
      </c>
      <c r="O178" t="s">
        <v>648</v>
      </c>
    </row>
    <row r="179" spans="1:15" x14ac:dyDescent="0.6">
      <c r="I179" s="2">
        <v>4</v>
      </c>
      <c r="J179">
        <v>4</v>
      </c>
      <c r="K179" t="s">
        <v>66</v>
      </c>
      <c r="L179" t="str">
        <f t="shared" si="2"/>
        <v>Z</v>
      </c>
      <c r="M179" t="s">
        <v>4</v>
      </c>
      <c r="N179" t="s">
        <v>72</v>
      </c>
      <c r="O179" t="s">
        <v>649</v>
      </c>
    </row>
    <row r="180" spans="1:15" x14ac:dyDescent="0.6">
      <c r="I180" s="2">
        <v>5</v>
      </c>
      <c r="J180">
        <v>5</v>
      </c>
      <c r="K180" t="s">
        <v>16</v>
      </c>
      <c r="L180" t="str">
        <f t="shared" si="2"/>
        <v>T</v>
      </c>
      <c r="M180" t="s">
        <v>3</v>
      </c>
      <c r="N180" t="s">
        <v>122</v>
      </c>
      <c r="O180" t="s">
        <v>650</v>
      </c>
    </row>
    <row r="181" spans="1:15" x14ac:dyDescent="0.6">
      <c r="I181" s="2">
        <v>6</v>
      </c>
      <c r="J181">
        <v>6</v>
      </c>
      <c r="K181" t="s">
        <v>39</v>
      </c>
      <c r="L181" t="str">
        <f t="shared" si="2"/>
        <v>Z</v>
      </c>
      <c r="M181" t="s">
        <v>4</v>
      </c>
      <c r="N181" t="s">
        <v>121</v>
      </c>
      <c r="O181" t="s">
        <v>651</v>
      </c>
    </row>
    <row r="182" spans="1:15" x14ac:dyDescent="0.6">
      <c r="I182" s="2">
        <v>7</v>
      </c>
      <c r="J182">
        <v>7</v>
      </c>
      <c r="K182" t="s">
        <v>66</v>
      </c>
      <c r="L182" t="str">
        <f t="shared" si="2"/>
        <v>Z</v>
      </c>
      <c r="M182" t="s">
        <v>4</v>
      </c>
      <c r="N182" t="s">
        <v>72</v>
      </c>
      <c r="O182" t="s">
        <v>652</v>
      </c>
    </row>
    <row r="183" spans="1:15" x14ac:dyDescent="0.6">
      <c r="I183" s="2">
        <v>8</v>
      </c>
      <c r="J183">
        <v>8</v>
      </c>
      <c r="K183" t="s">
        <v>76</v>
      </c>
      <c r="L183" t="str">
        <f t="shared" si="2"/>
        <v>T</v>
      </c>
      <c r="M183" t="s">
        <v>4</v>
      </c>
      <c r="N183" t="s">
        <v>120</v>
      </c>
      <c r="O183" t="s">
        <v>653</v>
      </c>
    </row>
    <row r="184" spans="1:15" x14ac:dyDescent="0.6">
      <c r="A184" t="s">
        <v>151</v>
      </c>
      <c r="B184" t="s">
        <v>56</v>
      </c>
      <c r="C184" t="s">
        <v>94</v>
      </c>
      <c r="D184" t="str">
        <f>IF(E184&gt;F184,"승",IF(E184&lt;F184,"패"))</f>
        <v>승</v>
      </c>
      <c r="E184">
        <f>COUNTIF(M184:M191,"승")</f>
        <v>6</v>
      </c>
      <c r="F184">
        <f>COUNTA(M184:M191)-E184</f>
        <v>2</v>
      </c>
      <c r="G184" s="1">
        <f>E184/(E184+F184)</f>
        <v>0.75</v>
      </c>
      <c r="H184" s="1" t="s">
        <v>46</v>
      </c>
      <c r="I184" s="2">
        <v>1</v>
      </c>
      <c r="J184" t="s">
        <v>559</v>
      </c>
      <c r="K184" t="s">
        <v>8</v>
      </c>
      <c r="L184" t="str">
        <f t="shared" si="2"/>
        <v>P</v>
      </c>
      <c r="M184" t="s">
        <v>3</v>
      </c>
      <c r="N184" t="s">
        <v>152</v>
      </c>
      <c r="O184" t="s">
        <v>654</v>
      </c>
    </row>
    <row r="185" spans="1:15" x14ac:dyDescent="0.6">
      <c r="I185" s="2">
        <v>2</v>
      </c>
      <c r="J185">
        <v>2</v>
      </c>
      <c r="K185" t="s">
        <v>76</v>
      </c>
      <c r="L185" t="str">
        <f t="shared" si="2"/>
        <v>T</v>
      </c>
      <c r="M185" t="s">
        <v>4</v>
      </c>
      <c r="N185" t="s">
        <v>153</v>
      </c>
      <c r="O185" t="s">
        <v>655</v>
      </c>
    </row>
    <row r="186" spans="1:15" x14ac:dyDescent="0.6">
      <c r="I186" s="2">
        <v>3</v>
      </c>
      <c r="J186">
        <v>3</v>
      </c>
      <c r="K186" t="s">
        <v>66</v>
      </c>
      <c r="L186" t="str">
        <f t="shared" si="2"/>
        <v>Z</v>
      </c>
      <c r="M186" t="s">
        <v>3</v>
      </c>
      <c r="N186" t="s">
        <v>138</v>
      </c>
      <c r="O186" t="s">
        <v>656</v>
      </c>
    </row>
    <row r="187" spans="1:15" x14ac:dyDescent="0.6">
      <c r="I187" s="2">
        <v>4</v>
      </c>
      <c r="J187">
        <v>4</v>
      </c>
      <c r="K187" t="s">
        <v>67</v>
      </c>
      <c r="L187" t="str">
        <f t="shared" si="2"/>
        <v>P</v>
      </c>
      <c r="M187" t="s">
        <v>3</v>
      </c>
      <c r="N187" t="s">
        <v>154</v>
      </c>
      <c r="O187" t="s">
        <v>657</v>
      </c>
    </row>
    <row r="188" spans="1:15" x14ac:dyDescent="0.6">
      <c r="I188" s="2">
        <v>5</v>
      </c>
      <c r="J188" t="s">
        <v>559</v>
      </c>
      <c r="K188" t="s">
        <v>67</v>
      </c>
      <c r="L188" t="str">
        <f t="shared" si="2"/>
        <v>P</v>
      </c>
      <c r="M188" t="s">
        <v>3</v>
      </c>
      <c r="N188" t="s">
        <v>154</v>
      </c>
      <c r="O188" t="s">
        <v>658</v>
      </c>
    </row>
    <row r="189" spans="1:15" x14ac:dyDescent="0.6">
      <c r="I189" s="2">
        <v>6</v>
      </c>
      <c r="J189">
        <v>2</v>
      </c>
      <c r="K189" t="s">
        <v>66</v>
      </c>
      <c r="L189" t="str">
        <f t="shared" si="2"/>
        <v>Z</v>
      </c>
      <c r="M189" t="s">
        <v>3</v>
      </c>
      <c r="N189" t="s">
        <v>138</v>
      </c>
      <c r="O189" t="s">
        <v>659</v>
      </c>
    </row>
    <row r="190" spans="1:15" x14ac:dyDescent="0.6">
      <c r="I190" s="2">
        <v>7</v>
      </c>
      <c r="J190">
        <v>3</v>
      </c>
      <c r="K190" t="s">
        <v>76</v>
      </c>
      <c r="L190" t="str">
        <f t="shared" si="2"/>
        <v>T</v>
      </c>
      <c r="M190" t="s">
        <v>4</v>
      </c>
      <c r="N190" t="s">
        <v>153</v>
      </c>
      <c r="O190" t="s">
        <v>660</v>
      </c>
    </row>
    <row r="191" spans="1:15" x14ac:dyDescent="0.6">
      <c r="I191" s="2">
        <v>8</v>
      </c>
      <c r="J191">
        <v>4</v>
      </c>
      <c r="K191" t="s">
        <v>8</v>
      </c>
      <c r="L191" t="str">
        <f t="shared" si="2"/>
        <v>P</v>
      </c>
      <c r="M191" t="s">
        <v>3</v>
      </c>
      <c r="N191" t="s">
        <v>152</v>
      </c>
      <c r="O191" t="s">
        <v>661</v>
      </c>
    </row>
    <row r="192" spans="1:15" x14ac:dyDescent="0.6">
      <c r="A192" t="s">
        <v>662</v>
      </c>
      <c r="B192" t="s">
        <v>131</v>
      </c>
      <c r="C192" t="s">
        <v>170</v>
      </c>
      <c r="D192" t="str">
        <f>IF(E192&gt;F192,"승",IF(E192&lt;F192,"패"))</f>
        <v>승</v>
      </c>
      <c r="E192">
        <f>COUNTIF(M192:M202,"승")</f>
        <v>9</v>
      </c>
      <c r="F192">
        <f>COUNTA(M192:M202)-E192</f>
        <v>2</v>
      </c>
      <c r="G192" s="1">
        <f>E192/(E192+F192)</f>
        <v>0.81818181818181823</v>
      </c>
      <c r="H192" s="1" t="s">
        <v>192</v>
      </c>
      <c r="I192" s="2">
        <v>1</v>
      </c>
      <c r="J192" t="s">
        <v>559</v>
      </c>
      <c r="K192" t="s">
        <v>26</v>
      </c>
      <c r="L192" t="str">
        <f t="shared" si="2"/>
        <v>T</v>
      </c>
      <c r="M192" t="s">
        <v>3</v>
      </c>
      <c r="N192" t="s">
        <v>156</v>
      </c>
      <c r="O192" t="s">
        <v>663</v>
      </c>
    </row>
    <row r="193" spans="1:15" x14ac:dyDescent="0.6">
      <c r="I193" s="2">
        <v>2</v>
      </c>
      <c r="J193">
        <v>2</v>
      </c>
      <c r="K193" t="s">
        <v>37</v>
      </c>
      <c r="L193" t="str">
        <f t="shared" si="2"/>
        <v>Z</v>
      </c>
      <c r="M193" t="s">
        <v>3</v>
      </c>
      <c r="N193" t="s">
        <v>30</v>
      </c>
      <c r="O193" t="s">
        <v>664</v>
      </c>
    </row>
    <row r="194" spans="1:15" x14ac:dyDescent="0.6">
      <c r="I194" s="2">
        <v>3</v>
      </c>
      <c r="J194">
        <v>3</v>
      </c>
      <c r="K194" t="s">
        <v>35</v>
      </c>
      <c r="L194" t="str">
        <f t="shared" si="2"/>
        <v>Z</v>
      </c>
      <c r="M194" t="s">
        <v>3</v>
      </c>
      <c r="N194" t="s">
        <v>40</v>
      </c>
      <c r="O194" t="s">
        <v>665</v>
      </c>
    </row>
    <row r="195" spans="1:15" x14ac:dyDescent="0.6">
      <c r="I195" s="2">
        <v>4</v>
      </c>
      <c r="J195">
        <v>4</v>
      </c>
      <c r="K195" t="s">
        <v>155</v>
      </c>
      <c r="L195" t="str">
        <f t="shared" ref="L195:L258" si="3">INDEX($R$2:$R$99,MATCH(K195,$Q$2:$Q$99,0))</f>
        <v>P</v>
      </c>
      <c r="M195" t="s">
        <v>3</v>
      </c>
      <c r="N195" t="s">
        <v>27</v>
      </c>
      <c r="O195" t="s">
        <v>666</v>
      </c>
    </row>
    <row r="196" spans="1:15" x14ac:dyDescent="0.6">
      <c r="I196" s="2">
        <v>5</v>
      </c>
      <c r="J196" t="s">
        <v>559</v>
      </c>
      <c r="K196" t="s">
        <v>37</v>
      </c>
      <c r="L196" t="str">
        <f t="shared" si="3"/>
        <v>Z</v>
      </c>
      <c r="M196" t="s">
        <v>3</v>
      </c>
      <c r="N196" t="s">
        <v>156</v>
      </c>
      <c r="O196" t="s">
        <v>667</v>
      </c>
    </row>
    <row r="197" spans="1:15" x14ac:dyDescent="0.6">
      <c r="I197" s="2">
        <v>6</v>
      </c>
      <c r="J197">
        <v>2</v>
      </c>
      <c r="K197" t="s">
        <v>37</v>
      </c>
      <c r="L197" t="str">
        <f t="shared" si="3"/>
        <v>Z</v>
      </c>
      <c r="M197" t="s">
        <v>4</v>
      </c>
      <c r="N197" t="s">
        <v>27</v>
      </c>
      <c r="O197" t="s">
        <v>668</v>
      </c>
    </row>
    <row r="198" spans="1:15" x14ac:dyDescent="0.6">
      <c r="I198" s="2">
        <v>7</v>
      </c>
      <c r="J198">
        <v>3</v>
      </c>
      <c r="K198" t="s">
        <v>145</v>
      </c>
      <c r="L198" t="str">
        <f t="shared" si="3"/>
        <v>P</v>
      </c>
      <c r="M198" t="s">
        <v>4</v>
      </c>
      <c r="N198" t="s">
        <v>27</v>
      </c>
      <c r="O198" t="s">
        <v>669</v>
      </c>
    </row>
    <row r="199" spans="1:15" x14ac:dyDescent="0.6">
      <c r="I199" s="2">
        <v>8</v>
      </c>
      <c r="J199">
        <v>4</v>
      </c>
      <c r="K199" t="s">
        <v>26</v>
      </c>
      <c r="L199" t="str">
        <f t="shared" si="3"/>
        <v>T</v>
      </c>
      <c r="M199" t="s">
        <v>3</v>
      </c>
      <c r="N199" t="s">
        <v>27</v>
      </c>
      <c r="O199" t="s">
        <v>670</v>
      </c>
    </row>
    <row r="200" spans="1:15" x14ac:dyDescent="0.6">
      <c r="I200" s="2">
        <v>9</v>
      </c>
      <c r="J200">
        <v>5</v>
      </c>
      <c r="K200" t="s">
        <v>26</v>
      </c>
      <c r="L200" t="str">
        <f t="shared" si="3"/>
        <v>T</v>
      </c>
      <c r="M200" t="s">
        <v>3</v>
      </c>
      <c r="N200" t="s">
        <v>157</v>
      </c>
      <c r="O200" t="s">
        <v>671</v>
      </c>
    </row>
    <row r="201" spans="1:15" x14ac:dyDescent="0.6">
      <c r="I201" s="2">
        <v>10</v>
      </c>
      <c r="J201">
        <v>6</v>
      </c>
      <c r="K201" t="s">
        <v>26</v>
      </c>
      <c r="L201" t="str">
        <f t="shared" si="3"/>
        <v>T</v>
      </c>
      <c r="M201" t="s">
        <v>3</v>
      </c>
      <c r="N201" t="s">
        <v>40</v>
      </c>
      <c r="O201" t="s">
        <v>672</v>
      </c>
    </row>
    <row r="202" spans="1:15" x14ac:dyDescent="0.6">
      <c r="I202" s="2">
        <v>11</v>
      </c>
      <c r="J202">
        <v>7</v>
      </c>
      <c r="K202" t="s">
        <v>26</v>
      </c>
      <c r="L202" t="str">
        <f t="shared" si="3"/>
        <v>T</v>
      </c>
      <c r="M202" t="s">
        <v>3</v>
      </c>
      <c r="N202" t="s">
        <v>30</v>
      </c>
      <c r="O202" t="s">
        <v>673</v>
      </c>
    </row>
    <row r="203" spans="1:15" x14ac:dyDescent="0.6">
      <c r="A203" t="s">
        <v>158</v>
      </c>
      <c r="B203" t="s">
        <v>110</v>
      </c>
      <c r="C203" t="s">
        <v>55</v>
      </c>
      <c r="D203" t="str">
        <f>IF(E203&gt;F203,"승",IF(E203&lt;F203,"패"))</f>
        <v>승</v>
      </c>
      <c r="E203">
        <f>COUNTIF(M203:M207,"승")</f>
        <v>5</v>
      </c>
      <c r="F203">
        <f>COUNTA(M203:M207)-E203</f>
        <v>0</v>
      </c>
      <c r="G203" s="1">
        <f>E203/(E203+F203)</f>
        <v>1</v>
      </c>
      <c r="I203" s="2">
        <v>1</v>
      </c>
      <c r="J203" t="s">
        <v>559</v>
      </c>
      <c r="K203" t="s">
        <v>18</v>
      </c>
      <c r="L203" t="str">
        <f t="shared" si="3"/>
        <v>Z</v>
      </c>
      <c r="M203" t="s">
        <v>3</v>
      </c>
      <c r="N203" t="s">
        <v>111</v>
      </c>
      <c r="O203" t="s">
        <v>679</v>
      </c>
    </row>
    <row r="204" spans="1:15" x14ac:dyDescent="0.6">
      <c r="I204" s="2">
        <v>2</v>
      </c>
      <c r="J204">
        <v>2</v>
      </c>
      <c r="K204" t="s">
        <v>16</v>
      </c>
      <c r="L204" t="str">
        <f t="shared" si="3"/>
        <v>T</v>
      </c>
      <c r="M204" t="s">
        <v>3</v>
      </c>
      <c r="N204" t="s">
        <v>114</v>
      </c>
      <c r="O204" t="s">
        <v>680</v>
      </c>
    </row>
    <row r="205" spans="1:15" x14ac:dyDescent="0.6">
      <c r="I205" s="2">
        <v>3</v>
      </c>
      <c r="J205">
        <v>3</v>
      </c>
      <c r="K205" t="s">
        <v>66</v>
      </c>
      <c r="L205" t="str">
        <f t="shared" si="3"/>
        <v>Z</v>
      </c>
      <c r="M205" t="s">
        <v>3</v>
      </c>
      <c r="N205" t="s">
        <v>112</v>
      </c>
      <c r="O205" t="s">
        <v>681</v>
      </c>
    </row>
    <row r="206" spans="1:15" x14ac:dyDescent="0.6">
      <c r="I206" s="2">
        <v>4</v>
      </c>
      <c r="J206">
        <v>4</v>
      </c>
      <c r="K206" t="s">
        <v>19</v>
      </c>
      <c r="L206" t="str">
        <f t="shared" si="3"/>
        <v>P</v>
      </c>
      <c r="M206" t="s">
        <v>3</v>
      </c>
      <c r="N206" t="s">
        <v>115</v>
      </c>
      <c r="O206" t="s">
        <v>682</v>
      </c>
    </row>
    <row r="207" spans="1:15" x14ac:dyDescent="0.6">
      <c r="I207" s="2">
        <v>5</v>
      </c>
      <c r="J207">
        <v>5</v>
      </c>
      <c r="K207" t="s">
        <v>39</v>
      </c>
      <c r="L207" t="str">
        <f t="shared" si="3"/>
        <v>Z</v>
      </c>
      <c r="M207" t="s">
        <v>3</v>
      </c>
      <c r="N207" t="s">
        <v>159</v>
      </c>
      <c r="O207" t="s">
        <v>683</v>
      </c>
    </row>
    <row r="208" spans="1:15" x14ac:dyDescent="0.6">
      <c r="A208" t="s">
        <v>160</v>
      </c>
      <c r="C208" t="s">
        <v>47</v>
      </c>
      <c r="D208" t="str">
        <f>IF(E208&gt;F208,"승",IF(E208&lt;F208,"패"))</f>
        <v>패</v>
      </c>
      <c r="E208">
        <f>COUNTIF(M208:M216,"승")</f>
        <v>4</v>
      </c>
      <c r="F208">
        <f>COUNTA(M208:M216)-E208</f>
        <v>5</v>
      </c>
      <c r="G208" s="1">
        <f>E208/(E208+F208)</f>
        <v>0.44444444444444442</v>
      </c>
      <c r="I208" s="2">
        <v>1</v>
      </c>
      <c r="J208" t="s">
        <v>559</v>
      </c>
      <c r="K208" t="s">
        <v>37</v>
      </c>
      <c r="L208" t="str">
        <f t="shared" si="3"/>
        <v>Z</v>
      </c>
      <c r="M208" t="s">
        <v>4</v>
      </c>
      <c r="N208" t="s">
        <v>161</v>
      </c>
      <c r="O208" t="s">
        <v>684</v>
      </c>
    </row>
    <row r="209" spans="1:15" x14ac:dyDescent="0.6">
      <c r="I209" s="2">
        <v>2</v>
      </c>
      <c r="J209">
        <v>2</v>
      </c>
      <c r="K209" t="s">
        <v>18</v>
      </c>
      <c r="L209" t="str">
        <f t="shared" si="3"/>
        <v>Z</v>
      </c>
      <c r="M209" t="s">
        <v>4</v>
      </c>
      <c r="N209" t="s">
        <v>58</v>
      </c>
      <c r="O209" t="s">
        <v>685</v>
      </c>
    </row>
    <row r="210" spans="1:15" x14ac:dyDescent="0.6">
      <c r="I210" s="2">
        <v>3</v>
      </c>
      <c r="J210">
        <v>3</v>
      </c>
      <c r="K210" t="s">
        <v>83</v>
      </c>
      <c r="L210" t="str">
        <f t="shared" si="3"/>
        <v>Z</v>
      </c>
      <c r="M210" t="s">
        <v>4</v>
      </c>
      <c r="N210" t="s">
        <v>162</v>
      </c>
      <c r="O210" t="s">
        <v>686</v>
      </c>
    </row>
    <row r="211" spans="1:15" x14ac:dyDescent="0.6">
      <c r="I211" s="2">
        <v>4</v>
      </c>
      <c r="J211">
        <v>4</v>
      </c>
      <c r="K211" t="s">
        <v>37</v>
      </c>
      <c r="L211" t="str">
        <f t="shared" si="3"/>
        <v>Z</v>
      </c>
      <c r="M211" t="s">
        <v>3</v>
      </c>
      <c r="N211" t="s">
        <v>161</v>
      </c>
      <c r="O211" t="s">
        <v>687</v>
      </c>
    </row>
    <row r="212" spans="1:15" x14ac:dyDescent="0.6">
      <c r="I212" s="2">
        <v>5</v>
      </c>
      <c r="J212">
        <v>5</v>
      </c>
      <c r="K212" t="s">
        <v>18</v>
      </c>
      <c r="L212" t="str">
        <f t="shared" si="3"/>
        <v>Z</v>
      </c>
      <c r="M212" t="s">
        <v>3</v>
      </c>
      <c r="N212" t="s">
        <v>58</v>
      </c>
      <c r="O212" t="s">
        <v>688</v>
      </c>
    </row>
    <row r="213" spans="1:15" x14ac:dyDescent="0.6">
      <c r="I213" s="2">
        <v>6</v>
      </c>
      <c r="J213">
        <v>6</v>
      </c>
      <c r="K213" t="s">
        <v>83</v>
      </c>
      <c r="L213" t="str">
        <f t="shared" si="3"/>
        <v>Z</v>
      </c>
      <c r="M213" t="s">
        <v>3</v>
      </c>
      <c r="N213" t="s">
        <v>162</v>
      </c>
      <c r="O213" t="s">
        <v>689</v>
      </c>
    </row>
    <row r="214" spans="1:15" x14ac:dyDescent="0.6">
      <c r="I214" s="2">
        <v>7</v>
      </c>
      <c r="J214">
        <v>7</v>
      </c>
      <c r="K214" t="s">
        <v>37</v>
      </c>
      <c r="L214" t="str">
        <f t="shared" si="3"/>
        <v>Z</v>
      </c>
      <c r="M214" t="s">
        <v>3</v>
      </c>
      <c r="N214" t="s">
        <v>161</v>
      </c>
      <c r="O214" t="s">
        <v>690</v>
      </c>
    </row>
    <row r="215" spans="1:15" x14ac:dyDescent="0.6">
      <c r="I215" s="2">
        <v>8</v>
      </c>
      <c r="J215">
        <v>8</v>
      </c>
      <c r="K215" t="s">
        <v>18</v>
      </c>
      <c r="L215" t="str">
        <f t="shared" si="3"/>
        <v>Z</v>
      </c>
      <c r="M215" t="s">
        <v>4</v>
      </c>
      <c r="N215" t="s">
        <v>58</v>
      </c>
      <c r="O215" t="s">
        <v>692</v>
      </c>
    </row>
    <row r="216" spans="1:15" x14ac:dyDescent="0.6">
      <c r="I216" s="2">
        <v>9</v>
      </c>
      <c r="J216" t="s">
        <v>562</v>
      </c>
      <c r="K216" t="s">
        <v>83</v>
      </c>
      <c r="L216" t="str">
        <f t="shared" si="3"/>
        <v>Z</v>
      </c>
      <c r="M216" t="s">
        <v>4</v>
      </c>
      <c r="N216" t="s">
        <v>162</v>
      </c>
      <c r="O216" t="s">
        <v>691</v>
      </c>
    </row>
    <row r="217" spans="1:15" x14ac:dyDescent="0.6">
      <c r="A217" t="s">
        <v>163</v>
      </c>
      <c r="C217" t="s">
        <v>47</v>
      </c>
      <c r="D217" t="str">
        <f>IF(E217&gt;F217,"승",IF(E217&lt;F217,"패"))</f>
        <v>승</v>
      </c>
      <c r="E217">
        <f>COUNTIF(M217:M223,"승")</f>
        <v>5</v>
      </c>
      <c r="F217">
        <f>COUNTA(M217:M223)-E217</f>
        <v>2</v>
      </c>
      <c r="G217" s="1">
        <f>E217/(E217+F217)</f>
        <v>0.7142857142857143</v>
      </c>
      <c r="I217" s="2">
        <v>1</v>
      </c>
      <c r="J217" t="s">
        <v>559</v>
      </c>
      <c r="K217" t="s">
        <v>19</v>
      </c>
      <c r="L217" t="str">
        <f t="shared" si="3"/>
        <v>P</v>
      </c>
      <c r="M217" t="s">
        <v>3</v>
      </c>
      <c r="N217" t="s">
        <v>134</v>
      </c>
      <c r="O217" t="s">
        <v>693</v>
      </c>
    </row>
    <row r="218" spans="1:15" x14ac:dyDescent="0.6">
      <c r="I218" s="2">
        <v>2</v>
      </c>
      <c r="J218">
        <v>2</v>
      </c>
      <c r="K218" t="s">
        <v>19</v>
      </c>
      <c r="L218" t="str">
        <f t="shared" si="3"/>
        <v>P</v>
      </c>
      <c r="M218" t="s">
        <v>3</v>
      </c>
      <c r="N218" t="s">
        <v>134</v>
      </c>
      <c r="O218" t="s">
        <v>694</v>
      </c>
    </row>
    <row r="219" spans="1:15" x14ac:dyDescent="0.6">
      <c r="I219" s="2">
        <v>3</v>
      </c>
      <c r="J219">
        <v>3</v>
      </c>
      <c r="K219" t="s">
        <v>19</v>
      </c>
      <c r="L219" t="str">
        <f t="shared" si="3"/>
        <v>P</v>
      </c>
      <c r="M219" t="s">
        <v>3</v>
      </c>
      <c r="N219" t="s">
        <v>134</v>
      </c>
      <c r="O219" t="s">
        <v>695</v>
      </c>
    </row>
    <row r="220" spans="1:15" x14ac:dyDescent="0.6">
      <c r="I220" s="2">
        <v>4</v>
      </c>
      <c r="J220">
        <v>4</v>
      </c>
      <c r="K220" t="s">
        <v>19</v>
      </c>
      <c r="L220" t="str">
        <f t="shared" si="3"/>
        <v>P</v>
      </c>
      <c r="M220" t="s">
        <v>3</v>
      </c>
      <c r="N220" t="s">
        <v>134</v>
      </c>
      <c r="O220" t="s">
        <v>696</v>
      </c>
    </row>
    <row r="221" spans="1:15" x14ac:dyDescent="0.6">
      <c r="I221" s="2">
        <v>5</v>
      </c>
      <c r="J221">
        <v>5</v>
      </c>
      <c r="K221" t="s">
        <v>19</v>
      </c>
      <c r="L221" t="str">
        <f t="shared" si="3"/>
        <v>P</v>
      </c>
      <c r="M221" t="s">
        <v>4</v>
      </c>
      <c r="N221" t="s">
        <v>134</v>
      </c>
      <c r="O221" t="s">
        <v>697</v>
      </c>
    </row>
    <row r="222" spans="1:15" x14ac:dyDescent="0.6">
      <c r="I222" s="2">
        <v>6</v>
      </c>
      <c r="J222">
        <v>6</v>
      </c>
      <c r="K222" t="s">
        <v>19</v>
      </c>
      <c r="L222" t="str">
        <f t="shared" si="3"/>
        <v>P</v>
      </c>
      <c r="M222" t="s">
        <v>3</v>
      </c>
      <c r="N222" t="s">
        <v>134</v>
      </c>
      <c r="O222" t="s">
        <v>698</v>
      </c>
    </row>
    <row r="223" spans="1:15" x14ac:dyDescent="0.6">
      <c r="I223" s="2">
        <v>7</v>
      </c>
      <c r="J223">
        <v>7</v>
      </c>
      <c r="K223" t="s">
        <v>19</v>
      </c>
      <c r="L223" t="str">
        <f t="shared" si="3"/>
        <v>P</v>
      </c>
      <c r="M223" t="s">
        <v>4</v>
      </c>
      <c r="N223" t="s">
        <v>134</v>
      </c>
      <c r="O223" t="s">
        <v>699</v>
      </c>
    </row>
    <row r="224" spans="1:15" x14ac:dyDescent="0.6">
      <c r="A224" t="s">
        <v>164</v>
      </c>
      <c r="B224" t="s">
        <v>23</v>
      </c>
      <c r="C224" t="s">
        <v>171</v>
      </c>
      <c r="D224" t="str">
        <f>IF(E224&gt;F224,"승",IF(E224&lt;F224,"패"))</f>
        <v>패</v>
      </c>
      <c r="E224">
        <f>COUNTIF(M224:M232,"승")</f>
        <v>3</v>
      </c>
      <c r="F224">
        <f>COUNTA(M224:M232)-E224</f>
        <v>6</v>
      </c>
      <c r="G224" s="1">
        <f>E224/(E224+F224)</f>
        <v>0.33333333333333331</v>
      </c>
      <c r="H224" s="1" t="s">
        <v>119</v>
      </c>
      <c r="I224" s="2">
        <v>1</v>
      </c>
      <c r="J224" t="s">
        <v>559</v>
      </c>
      <c r="K224" t="s">
        <v>39</v>
      </c>
      <c r="L224" t="str">
        <f t="shared" si="3"/>
        <v>Z</v>
      </c>
      <c r="M224" t="s">
        <v>4</v>
      </c>
      <c r="N224" t="s">
        <v>165</v>
      </c>
      <c r="O224" t="s">
        <v>700</v>
      </c>
    </row>
    <row r="225" spans="1:15" x14ac:dyDescent="0.6">
      <c r="I225" s="2">
        <v>2</v>
      </c>
      <c r="J225">
        <v>2</v>
      </c>
      <c r="K225" t="s">
        <v>145</v>
      </c>
      <c r="L225" t="str">
        <f t="shared" si="3"/>
        <v>P</v>
      </c>
      <c r="M225" t="s">
        <v>3</v>
      </c>
      <c r="N225" t="s">
        <v>166</v>
      </c>
      <c r="O225" t="s">
        <v>701</v>
      </c>
    </row>
    <row r="226" spans="1:15" x14ac:dyDescent="0.6">
      <c r="I226" s="2">
        <v>3</v>
      </c>
      <c r="J226">
        <v>3</v>
      </c>
      <c r="K226" t="s">
        <v>37</v>
      </c>
      <c r="L226" t="str">
        <f t="shared" si="3"/>
        <v>Z</v>
      </c>
      <c r="M226" t="s">
        <v>3</v>
      </c>
      <c r="N226" t="s">
        <v>26</v>
      </c>
      <c r="O226" t="s">
        <v>703</v>
      </c>
    </row>
    <row r="227" spans="1:15" x14ac:dyDescent="0.6">
      <c r="I227" s="2">
        <v>4</v>
      </c>
      <c r="J227">
        <v>4</v>
      </c>
      <c r="K227" t="s">
        <v>155</v>
      </c>
      <c r="L227" t="str">
        <f t="shared" si="3"/>
        <v>P</v>
      </c>
      <c r="M227" t="s">
        <v>4</v>
      </c>
      <c r="N227" t="s">
        <v>167</v>
      </c>
      <c r="O227" t="s">
        <v>702</v>
      </c>
    </row>
    <row r="228" spans="1:15" x14ac:dyDescent="0.6">
      <c r="I228" s="2">
        <v>5</v>
      </c>
      <c r="J228">
        <v>5</v>
      </c>
      <c r="K228" t="s">
        <v>38</v>
      </c>
      <c r="L228" t="str">
        <f t="shared" si="3"/>
        <v>Z</v>
      </c>
      <c r="M228" t="s">
        <v>3</v>
      </c>
      <c r="N228" t="s">
        <v>168</v>
      </c>
      <c r="O228" t="s">
        <v>704</v>
      </c>
    </row>
    <row r="229" spans="1:15" x14ac:dyDescent="0.6">
      <c r="I229" s="2">
        <v>6</v>
      </c>
      <c r="J229" t="s">
        <v>559</v>
      </c>
      <c r="K229" t="s">
        <v>38</v>
      </c>
      <c r="L229" t="str">
        <f t="shared" si="3"/>
        <v>Z</v>
      </c>
      <c r="M229" t="s">
        <v>4</v>
      </c>
      <c r="N229" t="s">
        <v>168</v>
      </c>
      <c r="O229" t="s">
        <v>705</v>
      </c>
    </row>
    <row r="230" spans="1:15" x14ac:dyDescent="0.6">
      <c r="I230" s="2">
        <v>7</v>
      </c>
      <c r="J230">
        <v>2</v>
      </c>
      <c r="K230" t="s">
        <v>155</v>
      </c>
      <c r="L230" t="str">
        <f t="shared" si="3"/>
        <v>P</v>
      </c>
      <c r="M230" t="s">
        <v>4</v>
      </c>
      <c r="N230" t="s">
        <v>167</v>
      </c>
      <c r="O230" t="s">
        <v>706</v>
      </c>
    </row>
    <row r="231" spans="1:15" x14ac:dyDescent="0.6">
      <c r="I231" s="2">
        <v>8</v>
      </c>
      <c r="J231">
        <v>3</v>
      </c>
      <c r="K231" t="s">
        <v>37</v>
      </c>
      <c r="L231" t="str">
        <f t="shared" si="3"/>
        <v>Z</v>
      </c>
      <c r="M231" t="s">
        <v>4</v>
      </c>
      <c r="N231" t="s">
        <v>26</v>
      </c>
      <c r="O231" t="s">
        <v>707</v>
      </c>
    </row>
    <row r="232" spans="1:15" x14ac:dyDescent="0.6">
      <c r="I232" s="2">
        <v>9</v>
      </c>
      <c r="J232" t="s">
        <v>562</v>
      </c>
      <c r="K232" t="s">
        <v>155</v>
      </c>
      <c r="L232" t="str">
        <f t="shared" si="3"/>
        <v>P</v>
      </c>
      <c r="M232" t="s">
        <v>4</v>
      </c>
      <c r="N232" t="s">
        <v>167</v>
      </c>
      <c r="O232" t="s">
        <v>708</v>
      </c>
    </row>
    <row r="233" spans="1:15" x14ac:dyDescent="0.6">
      <c r="A233" t="s">
        <v>169</v>
      </c>
      <c r="C233" t="s">
        <v>47</v>
      </c>
      <c r="D233" t="str">
        <f>IF(E233&gt;F233,"승",IF(E233&lt;F233,"패"))</f>
        <v>패</v>
      </c>
      <c r="E233">
        <f>COUNTIF(M233:M239,"승")</f>
        <v>2</v>
      </c>
      <c r="F233">
        <f>COUNTA(M233:M239)-E233</f>
        <v>5</v>
      </c>
      <c r="G233" s="1">
        <f>E233/(E233+F233)</f>
        <v>0.2857142857142857</v>
      </c>
      <c r="H233" s="1"/>
      <c r="I233" s="2">
        <v>1</v>
      </c>
      <c r="J233" t="s">
        <v>559</v>
      </c>
      <c r="K233" t="s">
        <v>16</v>
      </c>
      <c r="L233" t="str">
        <f t="shared" si="3"/>
        <v>T</v>
      </c>
      <c r="M233" t="s">
        <v>4</v>
      </c>
      <c r="N233" t="s">
        <v>95</v>
      </c>
    </row>
    <row r="234" spans="1:15" x14ac:dyDescent="0.6">
      <c r="I234" s="2">
        <v>2</v>
      </c>
      <c r="J234">
        <v>2</v>
      </c>
      <c r="K234" t="s">
        <v>26</v>
      </c>
      <c r="L234" t="str">
        <f t="shared" si="3"/>
        <v>T</v>
      </c>
      <c r="M234" t="s">
        <v>4</v>
      </c>
      <c r="N234" t="s">
        <v>168</v>
      </c>
    </row>
    <row r="235" spans="1:15" x14ac:dyDescent="0.6">
      <c r="I235" s="2">
        <v>3</v>
      </c>
      <c r="J235">
        <v>3</v>
      </c>
      <c r="K235" t="s">
        <v>16</v>
      </c>
      <c r="L235" t="str">
        <f t="shared" si="3"/>
        <v>T</v>
      </c>
      <c r="M235" t="s">
        <v>3</v>
      </c>
      <c r="N235" t="s">
        <v>95</v>
      </c>
    </row>
    <row r="236" spans="1:15" x14ac:dyDescent="0.6">
      <c r="I236" s="2">
        <v>4</v>
      </c>
      <c r="J236">
        <v>4</v>
      </c>
      <c r="K236" t="s">
        <v>26</v>
      </c>
      <c r="L236" t="str">
        <f t="shared" si="3"/>
        <v>T</v>
      </c>
      <c r="M236" t="s">
        <v>4</v>
      </c>
      <c r="N236" t="s">
        <v>168</v>
      </c>
    </row>
    <row r="237" spans="1:15" x14ac:dyDescent="0.6">
      <c r="I237" s="2">
        <v>5</v>
      </c>
      <c r="J237">
        <v>5</v>
      </c>
      <c r="K237" t="s">
        <v>16</v>
      </c>
      <c r="L237" t="str">
        <f t="shared" si="3"/>
        <v>T</v>
      </c>
      <c r="M237" t="s">
        <v>3</v>
      </c>
      <c r="N237" t="s">
        <v>95</v>
      </c>
    </row>
    <row r="238" spans="1:15" x14ac:dyDescent="0.6">
      <c r="I238" s="2">
        <v>6</v>
      </c>
      <c r="J238">
        <v>6</v>
      </c>
      <c r="K238" t="s">
        <v>26</v>
      </c>
      <c r="L238" t="str">
        <f t="shared" si="3"/>
        <v>T</v>
      </c>
      <c r="M238" t="s">
        <v>4</v>
      </c>
      <c r="N238" t="s">
        <v>168</v>
      </c>
    </row>
    <row r="239" spans="1:15" x14ac:dyDescent="0.6">
      <c r="I239" s="2">
        <v>7</v>
      </c>
      <c r="J239">
        <v>7</v>
      </c>
      <c r="K239" t="s">
        <v>16</v>
      </c>
      <c r="L239" t="str">
        <f t="shared" si="3"/>
        <v>T</v>
      </c>
      <c r="M239" t="s">
        <v>4</v>
      </c>
      <c r="N239" t="s">
        <v>95</v>
      </c>
    </row>
    <row r="240" spans="1:15" x14ac:dyDescent="0.6">
      <c r="A240" t="s">
        <v>172</v>
      </c>
      <c r="B240" t="s">
        <v>23</v>
      </c>
      <c r="C240" t="s">
        <v>171</v>
      </c>
      <c r="D240" t="str">
        <f>IF(E240&gt;F240,"승",IF(E240&lt;F240,"패"))</f>
        <v>승</v>
      </c>
      <c r="E240">
        <f>COUNTIF(M240:M247,"승")</f>
        <v>6</v>
      </c>
      <c r="F240">
        <f>COUNTA(M240:M247)-E240</f>
        <v>2</v>
      </c>
      <c r="G240" s="1">
        <f>E240/(E240+F240)</f>
        <v>0.75</v>
      </c>
      <c r="H240" s="1" t="s">
        <v>46</v>
      </c>
      <c r="I240" s="2">
        <v>1</v>
      </c>
      <c r="J240" t="s">
        <v>559</v>
      </c>
      <c r="K240" t="s">
        <v>16</v>
      </c>
      <c r="L240" t="str">
        <f t="shared" si="3"/>
        <v>T</v>
      </c>
      <c r="M240" t="s">
        <v>3</v>
      </c>
      <c r="N240" t="s">
        <v>114</v>
      </c>
    </row>
    <row r="241" spans="1:15" x14ac:dyDescent="0.6">
      <c r="I241" s="2">
        <v>2</v>
      </c>
      <c r="J241">
        <v>2</v>
      </c>
      <c r="K241" t="s">
        <v>66</v>
      </c>
      <c r="L241" t="str">
        <f t="shared" si="3"/>
        <v>Z</v>
      </c>
      <c r="M241" t="s">
        <v>3</v>
      </c>
      <c r="N241" t="s">
        <v>95</v>
      </c>
    </row>
    <row r="242" spans="1:15" x14ac:dyDescent="0.6">
      <c r="I242" s="2">
        <v>3</v>
      </c>
      <c r="J242">
        <v>3</v>
      </c>
      <c r="K242" t="s">
        <v>67</v>
      </c>
      <c r="L242" t="str">
        <f t="shared" si="3"/>
        <v>P</v>
      </c>
      <c r="M242" t="s">
        <v>3</v>
      </c>
      <c r="N242" t="s">
        <v>91</v>
      </c>
    </row>
    <row r="243" spans="1:15" x14ac:dyDescent="0.6">
      <c r="I243" s="2">
        <v>4</v>
      </c>
      <c r="J243" t="s">
        <v>559</v>
      </c>
      <c r="K243" t="s">
        <v>67</v>
      </c>
      <c r="L243" t="str">
        <f t="shared" si="3"/>
        <v>P</v>
      </c>
      <c r="M243" t="s">
        <v>4</v>
      </c>
      <c r="N243" t="s">
        <v>114</v>
      </c>
    </row>
    <row r="244" spans="1:15" x14ac:dyDescent="0.6">
      <c r="I244" s="2">
        <v>5</v>
      </c>
      <c r="J244">
        <v>2</v>
      </c>
      <c r="K244" t="s">
        <v>16</v>
      </c>
      <c r="L244" t="str">
        <f t="shared" si="3"/>
        <v>T</v>
      </c>
      <c r="M244" t="s">
        <v>4</v>
      </c>
      <c r="N244" t="s">
        <v>114</v>
      </c>
    </row>
    <row r="245" spans="1:15" x14ac:dyDescent="0.6">
      <c r="I245" s="2">
        <v>6</v>
      </c>
      <c r="J245">
        <v>3</v>
      </c>
      <c r="K245" t="s">
        <v>66</v>
      </c>
      <c r="L245" t="str">
        <f t="shared" si="3"/>
        <v>Z</v>
      </c>
      <c r="M245" t="s">
        <v>3</v>
      </c>
      <c r="N245" t="s">
        <v>114</v>
      </c>
    </row>
    <row r="246" spans="1:15" x14ac:dyDescent="0.6">
      <c r="I246" s="2">
        <v>7</v>
      </c>
      <c r="J246">
        <v>4</v>
      </c>
      <c r="K246" t="s">
        <v>66</v>
      </c>
      <c r="L246" t="str">
        <f t="shared" si="3"/>
        <v>Z</v>
      </c>
      <c r="M246" t="s">
        <v>3</v>
      </c>
      <c r="N246" t="s">
        <v>91</v>
      </c>
    </row>
    <row r="247" spans="1:15" x14ac:dyDescent="0.6">
      <c r="I247" s="2">
        <v>8</v>
      </c>
      <c r="J247">
        <v>5</v>
      </c>
      <c r="K247" t="s">
        <v>66</v>
      </c>
      <c r="L247" t="str">
        <f t="shared" si="3"/>
        <v>Z</v>
      </c>
      <c r="M247" t="s">
        <v>3</v>
      </c>
      <c r="N247" t="s">
        <v>95</v>
      </c>
    </row>
    <row r="248" spans="1:15" x14ac:dyDescent="0.6">
      <c r="A248" t="s">
        <v>173</v>
      </c>
      <c r="B248" t="s">
        <v>174</v>
      </c>
      <c r="C248" t="s">
        <v>55</v>
      </c>
      <c r="D248" t="str">
        <f>IF(E248&gt;F248,"승",IF(E248&lt;F248,"패"))</f>
        <v>패</v>
      </c>
      <c r="E248">
        <f>COUNTIF(M248:M254,"승")</f>
        <v>2</v>
      </c>
      <c r="F248">
        <f>COUNTA(M248:M254)-E248</f>
        <v>5</v>
      </c>
      <c r="G248" s="1">
        <f>E248/(E248+F248)</f>
        <v>0.2857142857142857</v>
      </c>
      <c r="H248" s="1" t="s">
        <v>175</v>
      </c>
      <c r="I248" s="2">
        <v>1</v>
      </c>
      <c r="J248" t="s">
        <v>559</v>
      </c>
      <c r="K248" t="s">
        <v>176</v>
      </c>
      <c r="L248" t="str">
        <f t="shared" si="3"/>
        <v>Z</v>
      </c>
      <c r="M248" t="s">
        <v>3</v>
      </c>
      <c r="N248" t="s">
        <v>41</v>
      </c>
      <c r="O248" t="s">
        <v>719</v>
      </c>
    </row>
    <row r="249" spans="1:15" x14ac:dyDescent="0.6">
      <c r="I249" s="2">
        <v>2</v>
      </c>
      <c r="J249">
        <v>2</v>
      </c>
      <c r="K249" t="s">
        <v>67</v>
      </c>
      <c r="L249" t="str">
        <f t="shared" si="3"/>
        <v>P</v>
      </c>
      <c r="M249" t="s">
        <v>4</v>
      </c>
      <c r="N249" t="s">
        <v>178</v>
      </c>
      <c r="O249" t="s">
        <v>720</v>
      </c>
    </row>
    <row r="250" spans="1:15" x14ac:dyDescent="0.6">
      <c r="I250" s="2">
        <v>3</v>
      </c>
      <c r="J250">
        <v>3</v>
      </c>
      <c r="K250" t="s">
        <v>177</v>
      </c>
      <c r="L250" t="str">
        <f t="shared" si="3"/>
        <v>T</v>
      </c>
      <c r="M250" t="s">
        <v>4</v>
      </c>
      <c r="N250" t="s">
        <v>165</v>
      </c>
      <c r="O250" t="s">
        <v>721</v>
      </c>
    </row>
    <row r="251" spans="1:15" x14ac:dyDescent="0.6">
      <c r="I251" s="2">
        <v>4</v>
      </c>
      <c r="J251">
        <v>4</v>
      </c>
      <c r="K251" t="s">
        <v>66</v>
      </c>
      <c r="L251" t="str">
        <f t="shared" si="3"/>
        <v>Z</v>
      </c>
      <c r="M251" t="s">
        <v>3</v>
      </c>
      <c r="N251" t="s">
        <v>179</v>
      </c>
      <c r="O251" t="s">
        <v>722</v>
      </c>
    </row>
    <row r="252" spans="1:15" x14ac:dyDescent="0.6">
      <c r="I252" s="2">
        <v>5</v>
      </c>
      <c r="J252">
        <v>5</v>
      </c>
      <c r="K252" t="s">
        <v>16</v>
      </c>
      <c r="L252" t="str">
        <f t="shared" si="3"/>
        <v>T</v>
      </c>
      <c r="M252" t="s">
        <v>4</v>
      </c>
      <c r="N252" t="s">
        <v>180</v>
      </c>
      <c r="O252" t="s">
        <v>723</v>
      </c>
    </row>
    <row r="253" spans="1:15" x14ac:dyDescent="0.6">
      <c r="I253" s="2">
        <v>6</v>
      </c>
      <c r="J253">
        <v>6</v>
      </c>
      <c r="K253" t="s">
        <v>177</v>
      </c>
      <c r="L253" t="str">
        <f t="shared" si="3"/>
        <v>T</v>
      </c>
      <c r="M253" t="s">
        <v>4</v>
      </c>
      <c r="N253" t="s">
        <v>165</v>
      </c>
      <c r="O253" t="s">
        <v>724</v>
      </c>
    </row>
    <row r="254" spans="1:15" x14ac:dyDescent="0.6">
      <c r="I254" s="2">
        <v>7</v>
      </c>
      <c r="J254">
        <v>7</v>
      </c>
      <c r="K254" t="s">
        <v>16</v>
      </c>
      <c r="L254" t="str">
        <f t="shared" si="3"/>
        <v>T</v>
      </c>
      <c r="M254" t="s">
        <v>4</v>
      </c>
      <c r="N254" t="s">
        <v>180</v>
      </c>
      <c r="O254" t="s">
        <v>725</v>
      </c>
    </row>
    <row r="255" spans="1:15" x14ac:dyDescent="0.6">
      <c r="A255" t="s">
        <v>181</v>
      </c>
      <c r="B255" t="s">
        <v>65</v>
      </c>
      <c r="C255" t="s">
        <v>55</v>
      </c>
      <c r="D255" t="str">
        <f>IF(E255&gt;F255,"승",IF(E255&lt;F255,"패"))</f>
        <v>패</v>
      </c>
      <c r="E255">
        <f>COUNTIF(M255:M262,"승")</f>
        <v>3</v>
      </c>
      <c r="F255">
        <f>COUNTA(M255:M262)-E255</f>
        <v>5</v>
      </c>
      <c r="G255" s="1">
        <f>E255/(E255+F255)</f>
        <v>0.375</v>
      </c>
      <c r="H255" s="1" t="s">
        <v>175</v>
      </c>
      <c r="I255" s="2">
        <v>1</v>
      </c>
      <c r="J255" t="s">
        <v>559</v>
      </c>
      <c r="K255" t="s">
        <v>176</v>
      </c>
      <c r="L255" t="str">
        <f t="shared" si="3"/>
        <v>Z</v>
      </c>
      <c r="M255" t="s">
        <v>4</v>
      </c>
      <c r="N255" t="s">
        <v>183</v>
      </c>
      <c r="O255" t="s">
        <v>726</v>
      </c>
    </row>
    <row r="256" spans="1:15" x14ac:dyDescent="0.6">
      <c r="I256" s="2">
        <v>2</v>
      </c>
      <c r="J256">
        <v>2</v>
      </c>
      <c r="K256" t="s">
        <v>35</v>
      </c>
      <c r="L256" t="str">
        <f t="shared" si="3"/>
        <v>Z</v>
      </c>
      <c r="M256" t="s">
        <v>3</v>
      </c>
      <c r="N256" t="s">
        <v>184</v>
      </c>
      <c r="O256" t="s">
        <v>727</v>
      </c>
    </row>
    <row r="257" spans="1:15" x14ac:dyDescent="0.6">
      <c r="I257" s="2">
        <v>3</v>
      </c>
      <c r="J257">
        <v>3</v>
      </c>
      <c r="K257" t="s">
        <v>182</v>
      </c>
      <c r="L257" t="str">
        <f t="shared" si="3"/>
        <v>Z</v>
      </c>
      <c r="M257" t="s">
        <v>4</v>
      </c>
      <c r="N257" t="s">
        <v>78</v>
      </c>
      <c r="O257" t="s">
        <v>728</v>
      </c>
    </row>
    <row r="258" spans="1:15" x14ac:dyDescent="0.6">
      <c r="I258" s="2">
        <v>4</v>
      </c>
      <c r="J258">
        <v>4</v>
      </c>
      <c r="K258" t="s">
        <v>177</v>
      </c>
      <c r="L258" t="str">
        <f t="shared" si="3"/>
        <v>T</v>
      </c>
      <c r="M258" t="s">
        <v>3</v>
      </c>
      <c r="N258" t="s">
        <v>77</v>
      </c>
      <c r="O258" t="s">
        <v>729</v>
      </c>
    </row>
    <row r="259" spans="1:15" x14ac:dyDescent="0.6">
      <c r="I259" s="2">
        <v>5</v>
      </c>
      <c r="J259">
        <v>5</v>
      </c>
      <c r="K259" t="s">
        <v>67</v>
      </c>
      <c r="L259" t="str">
        <f t="shared" ref="L259:L322" si="4">INDEX($R$2:$R$99,MATCH(K259,$Q$2:$Q$99,0))</f>
        <v>P</v>
      </c>
      <c r="M259" t="s">
        <v>4</v>
      </c>
      <c r="N259" t="s">
        <v>80</v>
      </c>
      <c r="O259" t="s">
        <v>730</v>
      </c>
    </row>
    <row r="260" spans="1:15" x14ac:dyDescent="0.6">
      <c r="I260" s="2">
        <v>6</v>
      </c>
      <c r="J260">
        <v>6</v>
      </c>
      <c r="K260" t="s">
        <v>66</v>
      </c>
      <c r="L260" t="str">
        <f t="shared" si="4"/>
        <v>Z</v>
      </c>
      <c r="M260" t="s">
        <v>3</v>
      </c>
      <c r="N260" t="s">
        <v>185</v>
      </c>
      <c r="O260" t="s">
        <v>731</v>
      </c>
    </row>
    <row r="261" spans="1:15" x14ac:dyDescent="0.6">
      <c r="I261" s="2">
        <v>7</v>
      </c>
      <c r="J261">
        <v>7</v>
      </c>
      <c r="K261" t="s">
        <v>57</v>
      </c>
      <c r="L261" t="str">
        <f t="shared" si="4"/>
        <v>P</v>
      </c>
      <c r="M261" t="s">
        <v>4</v>
      </c>
      <c r="N261" t="s">
        <v>96</v>
      </c>
      <c r="O261" t="s">
        <v>732</v>
      </c>
    </row>
    <row r="262" spans="1:15" x14ac:dyDescent="0.6">
      <c r="I262" s="2">
        <v>8</v>
      </c>
      <c r="J262">
        <v>8</v>
      </c>
      <c r="K262" t="s">
        <v>57</v>
      </c>
      <c r="L262" t="str">
        <f t="shared" si="4"/>
        <v>P</v>
      </c>
      <c r="M262" t="s">
        <v>4</v>
      </c>
      <c r="N262" t="s">
        <v>96</v>
      </c>
      <c r="O262" t="s">
        <v>733</v>
      </c>
    </row>
    <row r="263" spans="1:15" x14ac:dyDescent="0.6">
      <c r="A263" t="s">
        <v>186</v>
      </c>
      <c r="B263" t="s">
        <v>187</v>
      </c>
      <c r="C263" t="s">
        <v>94</v>
      </c>
      <c r="D263" t="str">
        <f>IF(E263&gt;F263,"승",IF(E263&lt;F263,"패"))</f>
        <v>패</v>
      </c>
      <c r="E263">
        <f>COUNTIF(M263:M270,"승")</f>
        <v>2</v>
      </c>
      <c r="F263">
        <f>COUNTA(M263:M270)-E263</f>
        <v>6</v>
      </c>
      <c r="G263" s="1">
        <f>E263/(E263+F263)</f>
        <v>0.25</v>
      </c>
      <c r="H263" s="1" t="s">
        <v>144</v>
      </c>
      <c r="I263" s="2">
        <v>1</v>
      </c>
      <c r="J263" t="s">
        <v>559</v>
      </c>
      <c r="K263" t="s">
        <v>8</v>
      </c>
      <c r="L263" t="str">
        <f t="shared" si="4"/>
        <v>P</v>
      </c>
      <c r="M263" t="s">
        <v>4</v>
      </c>
      <c r="N263" t="s">
        <v>25</v>
      </c>
      <c r="O263" t="s">
        <v>734</v>
      </c>
    </row>
    <row r="264" spans="1:15" x14ac:dyDescent="0.6">
      <c r="I264" s="2">
        <v>2</v>
      </c>
      <c r="J264">
        <v>2</v>
      </c>
      <c r="K264" t="s">
        <v>182</v>
      </c>
      <c r="L264" t="str">
        <f t="shared" si="4"/>
        <v>Z</v>
      </c>
      <c r="M264" t="s">
        <v>4</v>
      </c>
      <c r="N264" t="s">
        <v>188</v>
      </c>
      <c r="O264" t="s">
        <v>735</v>
      </c>
    </row>
    <row r="265" spans="1:15" x14ac:dyDescent="0.6">
      <c r="I265" s="2">
        <v>3</v>
      </c>
      <c r="J265">
        <v>3</v>
      </c>
      <c r="K265" t="s">
        <v>57</v>
      </c>
      <c r="L265" t="str">
        <f t="shared" si="4"/>
        <v>P</v>
      </c>
      <c r="M265" t="s">
        <v>4</v>
      </c>
      <c r="N265" t="s">
        <v>133</v>
      </c>
      <c r="O265" t="s">
        <v>736</v>
      </c>
    </row>
    <row r="266" spans="1:15" x14ac:dyDescent="0.6">
      <c r="I266" s="2">
        <v>4</v>
      </c>
      <c r="J266" t="s">
        <v>559</v>
      </c>
      <c r="K266" t="s">
        <v>76</v>
      </c>
      <c r="L266" t="str">
        <f t="shared" si="4"/>
        <v>T</v>
      </c>
      <c r="M266" t="s">
        <v>3</v>
      </c>
      <c r="N266" t="s">
        <v>190</v>
      </c>
      <c r="O266" t="s">
        <v>737</v>
      </c>
    </row>
    <row r="267" spans="1:15" x14ac:dyDescent="0.6">
      <c r="I267" s="2">
        <v>5</v>
      </c>
      <c r="J267">
        <v>2</v>
      </c>
      <c r="K267" t="s">
        <v>67</v>
      </c>
      <c r="L267" t="str">
        <f t="shared" si="4"/>
        <v>P</v>
      </c>
      <c r="M267" t="s">
        <v>3</v>
      </c>
      <c r="N267" t="s">
        <v>189</v>
      </c>
      <c r="O267" t="s">
        <v>738</v>
      </c>
    </row>
    <row r="268" spans="1:15" x14ac:dyDescent="0.6">
      <c r="I268" s="2">
        <v>6</v>
      </c>
      <c r="J268">
        <v>3</v>
      </c>
      <c r="K268" t="s">
        <v>57</v>
      </c>
      <c r="L268" t="str">
        <f t="shared" si="4"/>
        <v>P</v>
      </c>
      <c r="M268" t="s">
        <v>4</v>
      </c>
      <c r="N268" t="s">
        <v>133</v>
      </c>
      <c r="O268" t="s">
        <v>739</v>
      </c>
    </row>
    <row r="269" spans="1:15" x14ac:dyDescent="0.6">
      <c r="I269" s="2">
        <v>7</v>
      </c>
      <c r="J269">
        <v>4</v>
      </c>
      <c r="K269" t="s">
        <v>182</v>
      </c>
      <c r="L269" t="str">
        <f t="shared" si="4"/>
        <v>Z</v>
      </c>
      <c r="M269" t="s">
        <v>4</v>
      </c>
      <c r="N269" t="s">
        <v>188</v>
      </c>
      <c r="O269" t="s">
        <v>740</v>
      </c>
    </row>
    <row r="270" spans="1:15" x14ac:dyDescent="0.6">
      <c r="I270" s="2">
        <v>8</v>
      </c>
      <c r="J270">
        <v>5</v>
      </c>
      <c r="K270" t="s">
        <v>8</v>
      </c>
      <c r="L270" t="str">
        <f t="shared" si="4"/>
        <v>P</v>
      </c>
      <c r="M270" t="s">
        <v>4</v>
      </c>
      <c r="N270" t="s">
        <v>25</v>
      </c>
      <c r="O270" t="s">
        <v>741</v>
      </c>
    </row>
    <row r="271" spans="1:15" x14ac:dyDescent="0.6">
      <c r="A271" t="s">
        <v>191</v>
      </c>
      <c r="B271" t="s">
        <v>174</v>
      </c>
      <c r="C271" t="s">
        <v>94</v>
      </c>
      <c r="D271" t="str">
        <f>IF(E271&gt;F271,"승",IF(E271&lt;F271,"패"))</f>
        <v>승</v>
      </c>
      <c r="E271">
        <f>COUNTIF(M271:M279,"승")</f>
        <v>6</v>
      </c>
      <c r="F271">
        <f>COUNTA(M271:M279)-E271</f>
        <v>3</v>
      </c>
      <c r="G271" s="1">
        <f>E271/(E271+F271)</f>
        <v>0.66666666666666663</v>
      </c>
      <c r="H271" s="1" t="s">
        <v>192</v>
      </c>
      <c r="I271" s="2">
        <v>1</v>
      </c>
      <c r="J271" t="s">
        <v>559</v>
      </c>
      <c r="K271" t="s">
        <v>67</v>
      </c>
      <c r="L271" t="str">
        <f t="shared" si="4"/>
        <v>P</v>
      </c>
      <c r="M271" t="s">
        <v>3</v>
      </c>
      <c r="N271" t="s">
        <v>180</v>
      </c>
      <c r="O271" t="s">
        <v>742</v>
      </c>
    </row>
    <row r="272" spans="1:15" x14ac:dyDescent="0.6">
      <c r="I272" s="2">
        <v>2</v>
      </c>
      <c r="J272">
        <v>2</v>
      </c>
      <c r="K272" t="s">
        <v>8</v>
      </c>
      <c r="L272" t="str">
        <f t="shared" si="4"/>
        <v>P</v>
      </c>
      <c r="M272" t="s">
        <v>3</v>
      </c>
      <c r="N272" t="s">
        <v>41</v>
      </c>
      <c r="O272" t="s">
        <v>743</v>
      </c>
    </row>
    <row r="273" spans="1:15" x14ac:dyDescent="0.6">
      <c r="I273" s="2">
        <v>3</v>
      </c>
      <c r="J273">
        <v>3</v>
      </c>
      <c r="K273" t="s">
        <v>16</v>
      </c>
      <c r="L273" t="str">
        <f t="shared" si="4"/>
        <v>T</v>
      </c>
      <c r="M273" t="s">
        <v>3</v>
      </c>
      <c r="N273" t="s">
        <v>178</v>
      </c>
      <c r="O273" t="s">
        <v>744</v>
      </c>
    </row>
    <row r="274" spans="1:15" x14ac:dyDescent="0.6">
      <c r="I274" s="2">
        <v>4</v>
      </c>
      <c r="J274" t="s">
        <v>559</v>
      </c>
      <c r="K274" t="s">
        <v>177</v>
      </c>
      <c r="L274" t="str">
        <f t="shared" si="4"/>
        <v>T</v>
      </c>
      <c r="M274" t="s">
        <v>3</v>
      </c>
      <c r="N274" t="s">
        <v>165</v>
      </c>
      <c r="O274" t="s">
        <v>745</v>
      </c>
    </row>
    <row r="275" spans="1:15" x14ac:dyDescent="0.6">
      <c r="I275" s="2">
        <v>5</v>
      </c>
      <c r="J275">
        <v>2</v>
      </c>
      <c r="K275" t="s">
        <v>66</v>
      </c>
      <c r="L275" t="str">
        <f t="shared" si="4"/>
        <v>Z</v>
      </c>
      <c r="M275" t="s">
        <v>3</v>
      </c>
      <c r="N275" t="s">
        <v>179</v>
      </c>
      <c r="O275" t="s">
        <v>746</v>
      </c>
    </row>
    <row r="276" spans="1:15" x14ac:dyDescent="0.6">
      <c r="I276" s="2">
        <v>6</v>
      </c>
      <c r="J276">
        <v>3</v>
      </c>
      <c r="K276" t="s">
        <v>67</v>
      </c>
      <c r="L276" t="str">
        <f t="shared" si="4"/>
        <v>P</v>
      </c>
      <c r="M276" t="s">
        <v>4</v>
      </c>
      <c r="N276" t="s">
        <v>178</v>
      </c>
      <c r="O276" t="s">
        <v>747</v>
      </c>
    </row>
    <row r="277" spans="1:15" x14ac:dyDescent="0.6">
      <c r="I277" s="2">
        <v>7</v>
      </c>
      <c r="J277">
        <v>4</v>
      </c>
      <c r="K277" t="s">
        <v>176</v>
      </c>
      <c r="L277" t="str">
        <f t="shared" si="4"/>
        <v>Z</v>
      </c>
      <c r="M277" t="s">
        <v>4</v>
      </c>
      <c r="N277" t="s">
        <v>41</v>
      </c>
      <c r="O277" t="s">
        <v>748</v>
      </c>
    </row>
    <row r="278" spans="1:15" x14ac:dyDescent="0.6">
      <c r="I278" s="2">
        <v>8</v>
      </c>
      <c r="J278">
        <v>5</v>
      </c>
      <c r="K278" t="s">
        <v>16</v>
      </c>
      <c r="L278" t="str">
        <f t="shared" si="4"/>
        <v>T</v>
      </c>
      <c r="M278" t="s">
        <v>4</v>
      </c>
      <c r="N278" t="s">
        <v>180</v>
      </c>
      <c r="O278" t="s">
        <v>749</v>
      </c>
    </row>
    <row r="279" spans="1:15" x14ac:dyDescent="0.6">
      <c r="I279" s="2">
        <v>9</v>
      </c>
      <c r="J279" t="s">
        <v>562</v>
      </c>
      <c r="K279" t="s">
        <v>177</v>
      </c>
      <c r="L279" t="str">
        <f t="shared" si="4"/>
        <v>T</v>
      </c>
      <c r="M279" t="s">
        <v>3</v>
      </c>
      <c r="N279" t="s">
        <v>165</v>
      </c>
      <c r="O279" t="s">
        <v>750</v>
      </c>
    </row>
    <row r="280" spans="1:15" x14ac:dyDescent="0.6">
      <c r="A280" t="s">
        <v>193</v>
      </c>
      <c r="B280" t="s">
        <v>82</v>
      </c>
      <c r="C280" t="s">
        <v>94</v>
      </c>
      <c r="D280" t="str">
        <f>IF(E280&gt;F280,"승",IF(E280&lt;F280,"패"))</f>
        <v>승</v>
      </c>
      <c r="E280">
        <f>COUNTIF(M280:M283,"승")</f>
        <v>4</v>
      </c>
      <c r="F280">
        <f>COUNTA(M280:M283)-E280</f>
        <v>0</v>
      </c>
      <c r="G280" s="1">
        <f>E280/(E280+F280)</f>
        <v>1</v>
      </c>
      <c r="H280" s="1"/>
      <c r="I280" s="2">
        <v>1</v>
      </c>
      <c r="J280" t="s">
        <v>559</v>
      </c>
      <c r="K280" t="s">
        <v>177</v>
      </c>
      <c r="L280" t="str">
        <f t="shared" si="4"/>
        <v>T</v>
      </c>
      <c r="M280" t="s">
        <v>3</v>
      </c>
      <c r="N280" t="s">
        <v>89</v>
      </c>
      <c r="O280" t="s">
        <v>751</v>
      </c>
    </row>
    <row r="281" spans="1:15" x14ac:dyDescent="0.6">
      <c r="I281" s="2">
        <v>2</v>
      </c>
      <c r="J281">
        <v>2</v>
      </c>
      <c r="K281" t="s">
        <v>16</v>
      </c>
      <c r="L281" t="str">
        <f t="shared" si="4"/>
        <v>T</v>
      </c>
      <c r="M281" t="s">
        <v>3</v>
      </c>
      <c r="N281" t="s">
        <v>85</v>
      </c>
      <c r="O281" t="s">
        <v>752</v>
      </c>
    </row>
    <row r="282" spans="1:15" x14ac:dyDescent="0.6">
      <c r="I282" s="2">
        <v>3</v>
      </c>
      <c r="J282">
        <v>3</v>
      </c>
      <c r="K282" t="s">
        <v>8</v>
      </c>
      <c r="L282" t="str">
        <f t="shared" si="4"/>
        <v>P</v>
      </c>
      <c r="M282" t="s">
        <v>3</v>
      </c>
      <c r="N282" t="s">
        <v>143</v>
      </c>
      <c r="O282" t="s">
        <v>753</v>
      </c>
    </row>
    <row r="283" spans="1:15" x14ac:dyDescent="0.6">
      <c r="I283" s="2">
        <v>4</v>
      </c>
      <c r="J283">
        <v>4</v>
      </c>
      <c r="K283" t="s">
        <v>18</v>
      </c>
      <c r="L283" t="str">
        <f t="shared" si="4"/>
        <v>Z</v>
      </c>
      <c r="M283" t="s">
        <v>3</v>
      </c>
      <c r="N283" t="s">
        <v>194</v>
      </c>
      <c r="O283" t="s">
        <v>754</v>
      </c>
    </row>
    <row r="284" spans="1:15" x14ac:dyDescent="0.6">
      <c r="A284" t="s">
        <v>193</v>
      </c>
      <c r="B284" t="s">
        <v>110</v>
      </c>
      <c r="C284" t="s">
        <v>94</v>
      </c>
      <c r="D284" t="s">
        <v>4</v>
      </c>
      <c r="E284">
        <f>COUNTIF(M284:M293,"승")</f>
        <v>5</v>
      </c>
      <c r="F284">
        <f>COUNTA(M284:M293)-E284</f>
        <v>5</v>
      </c>
      <c r="G284" s="1">
        <f>E284/(E284+F284)</f>
        <v>0.5</v>
      </c>
      <c r="H284" s="1" t="s">
        <v>119</v>
      </c>
      <c r="I284" s="2">
        <v>1</v>
      </c>
      <c r="J284" t="s">
        <v>559</v>
      </c>
      <c r="K284" t="s">
        <v>176</v>
      </c>
      <c r="L284" t="str">
        <f t="shared" si="4"/>
        <v>Z</v>
      </c>
      <c r="M284" t="s">
        <v>4</v>
      </c>
      <c r="N284" t="s">
        <v>195</v>
      </c>
      <c r="O284" t="s">
        <v>755</v>
      </c>
    </row>
    <row r="285" spans="1:15" x14ac:dyDescent="0.6">
      <c r="I285" s="2">
        <v>2</v>
      </c>
      <c r="J285">
        <v>2</v>
      </c>
      <c r="K285" t="s">
        <v>16</v>
      </c>
      <c r="L285" t="str">
        <f t="shared" si="4"/>
        <v>T</v>
      </c>
      <c r="M285" t="s">
        <v>3</v>
      </c>
      <c r="N285" t="s">
        <v>196</v>
      </c>
      <c r="O285" t="s">
        <v>756</v>
      </c>
    </row>
    <row r="286" spans="1:15" x14ac:dyDescent="0.6">
      <c r="I286" s="2">
        <v>3</v>
      </c>
      <c r="J286">
        <v>3</v>
      </c>
      <c r="K286" t="s">
        <v>177</v>
      </c>
      <c r="L286" t="str">
        <f t="shared" si="4"/>
        <v>T</v>
      </c>
      <c r="M286" t="s">
        <v>3</v>
      </c>
      <c r="N286" t="s">
        <v>90</v>
      </c>
      <c r="O286" t="s">
        <v>757</v>
      </c>
    </row>
    <row r="287" spans="1:15" x14ac:dyDescent="0.6">
      <c r="I287" s="2">
        <v>4</v>
      </c>
      <c r="J287">
        <v>4</v>
      </c>
      <c r="K287" t="s">
        <v>66</v>
      </c>
      <c r="L287" t="str">
        <f t="shared" si="4"/>
        <v>Z</v>
      </c>
      <c r="M287" t="s">
        <v>3</v>
      </c>
      <c r="N287" t="s">
        <v>114</v>
      </c>
      <c r="O287" t="s">
        <v>758</v>
      </c>
    </row>
    <row r="288" spans="1:15" x14ac:dyDescent="0.6">
      <c r="I288" s="2">
        <v>5</v>
      </c>
      <c r="J288" t="s">
        <v>559</v>
      </c>
      <c r="K288" t="s">
        <v>182</v>
      </c>
      <c r="L288" t="str">
        <f t="shared" si="4"/>
        <v>Z</v>
      </c>
      <c r="M288" t="s">
        <v>4</v>
      </c>
      <c r="N288" t="s">
        <v>197</v>
      </c>
      <c r="O288" t="s">
        <v>759</v>
      </c>
    </row>
    <row r="289" spans="1:15" x14ac:dyDescent="0.6">
      <c r="I289" s="2">
        <v>6</v>
      </c>
      <c r="J289">
        <v>2</v>
      </c>
      <c r="K289" t="s">
        <v>66</v>
      </c>
      <c r="L289" t="str">
        <f t="shared" si="4"/>
        <v>Z</v>
      </c>
      <c r="M289" t="s">
        <v>3</v>
      </c>
      <c r="N289" t="s">
        <v>114</v>
      </c>
      <c r="O289" t="s">
        <v>760</v>
      </c>
    </row>
    <row r="290" spans="1:15" x14ac:dyDescent="0.6">
      <c r="I290" s="2">
        <v>7</v>
      </c>
      <c r="J290">
        <v>3</v>
      </c>
      <c r="K290" t="s">
        <v>177</v>
      </c>
      <c r="L290" t="str">
        <f t="shared" si="4"/>
        <v>T</v>
      </c>
      <c r="M290" t="s">
        <v>3</v>
      </c>
      <c r="N290" t="s">
        <v>90</v>
      </c>
      <c r="O290" t="s">
        <v>761</v>
      </c>
    </row>
    <row r="291" spans="1:15" x14ac:dyDescent="0.6">
      <c r="I291" s="2">
        <v>8</v>
      </c>
      <c r="J291">
        <v>4</v>
      </c>
      <c r="K291" t="s">
        <v>16</v>
      </c>
      <c r="L291" t="str">
        <f t="shared" si="4"/>
        <v>T</v>
      </c>
      <c r="M291" t="s">
        <v>4</v>
      </c>
      <c r="N291" t="s">
        <v>196</v>
      </c>
      <c r="O291" t="s">
        <v>762</v>
      </c>
    </row>
    <row r="292" spans="1:15" x14ac:dyDescent="0.6">
      <c r="I292" s="2">
        <v>9</v>
      </c>
      <c r="J292">
        <v>5</v>
      </c>
      <c r="K292" t="s">
        <v>176</v>
      </c>
      <c r="L292" t="str">
        <f t="shared" si="4"/>
        <v>Z</v>
      </c>
      <c r="M292" t="s">
        <v>4</v>
      </c>
      <c r="N292" t="s">
        <v>195</v>
      </c>
      <c r="O292" t="s">
        <v>763</v>
      </c>
    </row>
    <row r="293" spans="1:15" x14ac:dyDescent="0.6">
      <c r="I293" s="2">
        <v>10</v>
      </c>
      <c r="J293" t="s">
        <v>562</v>
      </c>
      <c r="K293" t="s">
        <v>176</v>
      </c>
      <c r="L293" t="str">
        <f t="shared" si="4"/>
        <v>Z</v>
      </c>
      <c r="M293" t="s">
        <v>4</v>
      </c>
      <c r="N293" t="s">
        <v>195</v>
      </c>
      <c r="O293" t="s">
        <v>764</v>
      </c>
    </row>
    <row r="294" spans="1:15" x14ac:dyDescent="0.6">
      <c r="A294" t="s">
        <v>198</v>
      </c>
      <c r="B294" t="s">
        <v>93</v>
      </c>
      <c r="C294" t="s">
        <v>94</v>
      </c>
      <c r="D294" t="str">
        <f>IF(E294&gt;F294,"승",IF(E294&lt;F294,"패"))</f>
        <v>승</v>
      </c>
      <c r="E294">
        <f>COUNTIF(M294:M302,"승")</f>
        <v>6</v>
      </c>
      <c r="F294">
        <f>COUNTA(M294:M302)-E294</f>
        <v>3</v>
      </c>
      <c r="G294" s="1">
        <f>E294/(E294+F294)</f>
        <v>0.66666666666666663</v>
      </c>
      <c r="H294" s="1" t="s">
        <v>46</v>
      </c>
      <c r="I294" s="2">
        <v>1</v>
      </c>
      <c r="J294" t="s">
        <v>559</v>
      </c>
      <c r="K294" t="s">
        <v>177</v>
      </c>
      <c r="L294" t="str">
        <f t="shared" si="4"/>
        <v>T</v>
      </c>
      <c r="M294" t="s">
        <v>3</v>
      </c>
      <c r="N294" t="s">
        <v>199</v>
      </c>
      <c r="O294" t="s">
        <v>765</v>
      </c>
    </row>
    <row r="295" spans="1:15" x14ac:dyDescent="0.6">
      <c r="I295" s="2">
        <v>2</v>
      </c>
      <c r="J295">
        <v>2</v>
      </c>
      <c r="K295" t="s">
        <v>16</v>
      </c>
      <c r="L295" t="str">
        <f t="shared" si="4"/>
        <v>T</v>
      </c>
      <c r="M295" t="s">
        <v>3</v>
      </c>
      <c r="N295" t="s">
        <v>95</v>
      </c>
      <c r="O295" t="s">
        <v>766</v>
      </c>
    </row>
    <row r="296" spans="1:15" x14ac:dyDescent="0.6">
      <c r="I296" s="2">
        <v>3</v>
      </c>
      <c r="J296">
        <v>3</v>
      </c>
      <c r="K296" t="s">
        <v>176</v>
      </c>
      <c r="L296" t="str">
        <f t="shared" si="4"/>
        <v>Z</v>
      </c>
      <c r="M296" t="s">
        <v>4</v>
      </c>
      <c r="N296" t="s">
        <v>200</v>
      </c>
      <c r="O296" t="s">
        <v>767</v>
      </c>
    </row>
    <row r="297" spans="1:15" x14ac:dyDescent="0.6">
      <c r="I297" s="2">
        <v>4</v>
      </c>
      <c r="J297">
        <v>4</v>
      </c>
      <c r="K297" t="s">
        <v>76</v>
      </c>
      <c r="L297" t="str">
        <f t="shared" si="4"/>
        <v>T</v>
      </c>
      <c r="M297" t="s">
        <v>3</v>
      </c>
      <c r="N297" t="s">
        <v>201</v>
      </c>
      <c r="O297" t="s">
        <v>768</v>
      </c>
    </row>
    <row r="298" spans="1:15" x14ac:dyDescent="0.6">
      <c r="I298" s="2">
        <v>5</v>
      </c>
      <c r="J298" t="s">
        <v>559</v>
      </c>
      <c r="K298" t="s">
        <v>76</v>
      </c>
      <c r="L298" t="str">
        <f t="shared" si="4"/>
        <v>T</v>
      </c>
      <c r="M298" t="s">
        <v>4</v>
      </c>
      <c r="N298" t="s">
        <v>201</v>
      </c>
      <c r="O298" t="s">
        <v>769</v>
      </c>
    </row>
    <row r="299" spans="1:15" x14ac:dyDescent="0.6">
      <c r="I299" s="2">
        <v>6</v>
      </c>
      <c r="J299">
        <v>2</v>
      </c>
      <c r="K299" t="s">
        <v>176</v>
      </c>
      <c r="L299" t="str">
        <f t="shared" si="4"/>
        <v>Z</v>
      </c>
      <c r="M299" t="s">
        <v>4</v>
      </c>
      <c r="N299" t="s">
        <v>200</v>
      </c>
      <c r="O299" t="s">
        <v>770</v>
      </c>
    </row>
    <row r="300" spans="1:15" x14ac:dyDescent="0.6">
      <c r="I300" s="2">
        <v>7</v>
      </c>
      <c r="J300">
        <v>3</v>
      </c>
      <c r="K300" t="s">
        <v>16</v>
      </c>
      <c r="L300" t="str">
        <f t="shared" si="4"/>
        <v>T</v>
      </c>
      <c r="M300" t="s">
        <v>3</v>
      </c>
      <c r="N300" t="s">
        <v>95</v>
      </c>
      <c r="O300" t="s">
        <v>771</v>
      </c>
    </row>
    <row r="301" spans="1:15" x14ac:dyDescent="0.6">
      <c r="I301" s="2">
        <v>8</v>
      </c>
      <c r="J301">
        <v>4</v>
      </c>
      <c r="K301" t="s">
        <v>177</v>
      </c>
      <c r="L301" t="str">
        <f t="shared" si="4"/>
        <v>T</v>
      </c>
      <c r="M301" t="s">
        <v>3</v>
      </c>
      <c r="N301" t="s">
        <v>199</v>
      </c>
      <c r="O301" t="s">
        <v>772</v>
      </c>
    </row>
    <row r="302" spans="1:15" x14ac:dyDescent="0.6">
      <c r="I302" s="2">
        <v>9</v>
      </c>
      <c r="J302">
        <v>5</v>
      </c>
      <c r="K302" t="s">
        <v>177</v>
      </c>
      <c r="L302" t="str">
        <f t="shared" si="4"/>
        <v>T</v>
      </c>
      <c r="M302" t="s">
        <v>3</v>
      </c>
      <c r="N302" t="s">
        <v>199</v>
      </c>
      <c r="O302" t="s">
        <v>773</v>
      </c>
    </row>
    <row r="303" spans="1:15" x14ac:dyDescent="0.6">
      <c r="A303" t="s">
        <v>202</v>
      </c>
      <c r="B303" t="s">
        <v>110</v>
      </c>
      <c r="C303" t="s">
        <v>94</v>
      </c>
      <c r="D303" t="str">
        <f>IF(E303&gt;F303,"승",IF(E303&lt;F303,"패"))</f>
        <v>패</v>
      </c>
      <c r="E303">
        <f>COUNTIF(M303:M311,"승")</f>
        <v>3</v>
      </c>
      <c r="F303">
        <f>COUNTA(M303:M311)-E303</f>
        <v>6</v>
      </c>
      <c r="G303" s="1">
        <f>E303/(E303+F303)</f>
        <v>0.33333333333333331</v>
      </c>
      <c r="H303" s="1" t="s">
        <v>144</v>
      </c>
      <c r="I303" s="2">
        <v>1</v>
      </c>
      <c r="J303" t="s">
        <v>559</v>
      </c>
      <c r="K303" t="s">
        <v>176</v>
      </c>
      <c r="L303" t="str">
        <f t="shared" si="4"/>
        <v>Z</v>
      </c>
      <c r="M303" t="s">
        <v>4</v>
      </c>
      <c r="N303" t="s">
        <v>195</v>
      </c>
      <c r="O303" t="s">
        <v>798</v>
      </c>
    </row>
    <row r="304" spans="1:15" x14ac:dyDescent="0.6">
      <c r="I304" s="2">
        <v>2</v>
      </c>
      <c r="J304">
        <v>2</v>
      </c>
      <c r="K304" t="s">
        <v>182</v>
      </c>
      <c r="L304" t="str">
        <f t="shared" si="4"/>
        <v>Z</v>
      </c>
      <c r="M304" t="s">
        <v>4</v>
      </c>
      <c r="N304" t="s">
        <v>197</v>
      </c>
      <c r="O304" t="s">
        <v>799</v>
      </c>
    </row>
    <row r="305" spans="1:15" x14ac:dyDescent="0.6">
      <c r="I305" s="2">
        <v>3</v>
      </c>
      <c r="J305">
        <v>3</v>
      </c>
      <c r="K305" t="s">
        <v>67</v>
      </c>
      <c r="L305" t="str">
        <f t="shared" si="4"/>
        <v>P</v>
      </c>
      <c r="M305" t="s">
        <v>3</v>
      </c>
      <c r="N305" t="s">
        <v>203</v>
      </c>
      <c r="O305" t="s">
        <v>801</v>
      </c>
    </row>
    <row r="306" spans="1:15" x14ac:dyDescent="0.6">
      <c r="I306" s="2">
        <v>4</v>
      </c>
      <c r="J306">
        <v>4</v>
      </c>
      <c r="K306" t="s">
        <v>16</v>
      </c>
      <c r="L306" t="str">
        <f t="shared" si="4"/>
        <v>T</v>
      </c>
      <c r="M306" t="s">
        <v>4</v>
      </c>
      <c r="N306" t="s">
        <v>196</v>
      </c>
      <c r="O306" t="s">
        <v>800</v>
      </c>
    </row>
    <row r="307" spans="1:15" x14ac:dyDescent="0.6">
      <c r="I307" s="2">
        <v>5</v>
      </c>
      <c r="J307" t="s">
        <v>559</v>
      </c>
      <c r="K307" t="s">
        <v>182</v>
      </c>
      <c r="L307" t="str">
        <f t="shared" si="4"/>
        <v>Z</v>
      </c>
      <c r="M307" t="s">
        <v>3</v>
      </c>
      <c r="N307" t="s">
        <v>204</v>
      </c>
      <c r="O307" t="s">
        <v>802</v>
      </c>
    </row>
    <row r="308" spans="1:15" x14ac:dyDescent="0.6">
      <c r="I308" s="2">
        <v>6</v>
      </c>
      <c r="J308">
        <v>2</v>
      </c>
      <c r="K308" t="s">
        <v>16</v>
      </c>
      <c r="L308" t="str">
        <f t="shared" si="4"/>
        <v>T</v>
      </c>
      <c r="M308" t="s">
        <v>4</v>
      </c>
      <c r="N308" t="s">
        <v>196</v>
      </c>
      <c r="O308" t="s">
        <v>803</v>
      </c>
    </row>
    <row r="309" spans="1:15" x14ac:dyDescent="0.6">
      <c r="I309" s="2">
        <v>7</v>
      </c>
      <c r="J309">
        <v>3</v>
      </c>
      <c r="K309" t="s">
        <v>67</v>
      </c>
      <c r="L309" t="str">
        <f t="shared" si="4"/>
        <v>P</v>
      </c>
      <c r="M309" t="s">
        <v>3</v>
      </c>
      <c r="N309" t="s">
        <v>203</v>
      </c>
      <c r="O309" t="s">
        <v>804</v>
      </c>
    </row>
    <row r="310" spans="1:15" x14ac:dyDescent="0.6">
      <c r="I310" s="2">
        <v>8</v>
      </c>
      <c r="J310">
        <v>4</v>
      </c>
      <c r="K310" t="s">
        <v>76</v>
      </c>
      <c r="L310" t="str">
        <f t="shared" si="4"/>
        <v>T</v>
      </c>
      <c r="M310" t="s">
        <v>4</v>
      </c>
      <c r="N310" t="s">
        <v>197</v>
      </c>
      <c r="O310" t="s">
        <v>805</v>
      </c>
    </row>
    <row r="311" spans="1:15" x14ac:dyDescent="0.6">
      <c r="I311" s="2">
        <v>9</v>
      </c>
      <c r="J311">
        <v>5</v>
      </c>
      <c r="K311" t="s">
        <v>176</v>
      </c>
      <c r="L311" t="str">
        <f t="shared" si="4"/>
        <v>Z</v>
      </c>
      <c r="M311" t="s">
        <v>4</v>
      </c>
      <c r="N311" t="s">
        <v>195</v>
      </c>
      <c r="O311" t="s">
        <v>806</v>
      </c>
    </row>
    <row r="312" spans="1:15" x14ac:dyDescent="0.6">
      <c r="A312" t="s">
        <v>205</v>
      </c>
      <c r="B312" t="s">
        <v>131</v>
      </c>
      <c r="C312" t="s">
        <v>94</v>
      </c>
      <c r="D312" t="str">
        <f>IF(E312&gt;F312,"승",IF(E312&lt;F312,"패"))</f>
        <v>승</v>
      </c>
      <c r="E312">
        <f>COUNTIF(M312:M317,"승")</f>
        <v>4</v>
      </c>
      <c r="F312">
        <f>COUNTA(M312:M317)-E312</f>
        <v>2</v>
      </c>
      <c r="G312" s="1">
        <f>E312/(E312+F312)</f>
        <v>0.66666666666666663</v>
      </c>
      <c r="H312" s="1" t="s">
        <v>46</v>
      </c>
      <c r="I312" s="2">
        <v>1</v>
      </c>
      <c r="J312" t="s">
        <v>559</v>
      </c>
      <c r="K312" t="s">
        <v>182</v>
      </c>
      <c r="L312" t="str">
        <f t="shared" si="4"/>
        <v>Z</v>
      </c>
      <c r="M312" t="s">
        <v>3</v>
      </c>
      <c r="N312" t="s">
        <v>206</v>
      </c>
      <c r="O312" t="s">
        <v>807</v>
      </c>
    </row>
    <row r="313" spans="1:15" x14ac:dyDescent="0.6">
      <c r="I313" s="2">
        <v>2</v>
      </c>
      <c r="J313">
        <v>2</v>
      </c>
      <c r="K313" t="s">
        <v>66</v>
      </c>
      <c r="L313" t="str">
        <f t="shared" si="4"/>
        <v>Z</v>
      </c>
      <c r="M313" t="s">
        <v>3</v>
      </c>
      <c r="N313" t="s">
        <v>207</v>
      </c>
      <c r="O313" t="s">
        <v>808</v>
      </c>
    </row>
    <row r="314" spans="1:15" x14ac:dyDescent="0.6">
      <c r="I314" s="2">
        <v>3</v>
      </c>
      <c r="J314">
        <v>3</v>
      </c>
      <c r="K314" t="s">
        <v>76</v>
      </c>
      <c r="L314" t="str">
        <f t="shared" si="4"/>
        <v>T</v>
      </c>
      <c r="M314" t="s">
        <v>3</v>
      </c>
      <c r="N314" t="s">
        <v>208</v>
      </c>
      <c r="O314" t="s">
        <v>809</v>
      </c>
    </row>
    <row r="315" spans="1:15" x14ac:dyDescent="0.6">
      <c r="I315" s="2">
        <v>4</v>
      </c>
      <c r="J315">
        <v>4</v>
      </c>
      <c r="K315" t="s">
        <v>8</v>
      </c>
      <c r="L315" t="str">
        <f t="shared" si="4"/>
        <v>P</v>
      </c>
      <c r="M315" t="s">
        <v>4</v>
      </c>
      <c r="N315" t="s">
        <v>209</v>
      </c>
      <c r="O315" t="s">
        <v>810</v>
      </c>
    </row>
    <row r="316" spans="1:15" x14ac:dyDescent="0.6">
      <c r="I316" s="2">
        <v>5</v>
      </c>
      <c r="J316">
        <v>5</v>
      </c>
      <c r="K316" t="s">
        <v>76</v>
      </c>
      <c r="L316" t="str">
        <f t="shared" si="4"/>
        <v>T</v>
      </c>
      <c r="M316" t="s">
        <v>4</v>
      </c>
      <c r="N316" t="s">
        <v>208</v>
      </c>
      <c r="O316" t="s">
        <v>811</v>
      </c>
    </row>
    <row r="317" spans="1:15" x14ac:dyDescent="0.6">
      <c r="I317" s="2">
        <v>6</v>
      </c>
      <c r="J317">
        <v>6</v>
      </c>
      <c r="K317" t="s">
        <v>8</v>
      </c>
      <c r="L317" t="str">
        <f t="shared" si="4"/>
        <v>P</v>
      </c>
      <c r="M317" t="s">
        <v>3</v>
      </c>
      <c r="N317" t="s">
        <v>209</v>
      </c>
      <c r="O317" t="s">
        <v>812</v>
      </c>
    </row>
    <row r="318" spans="1:15" x14ac:dyDescent="0.6">
      <c r="A318" t="s">
        <v>210</v>
      </c>
      <c r="B318" t="s">
        <v>117</v>
      </c>
      <c r="C318" t="s">
        <v>94</v>
      </c>
      <c r="D318" t="str">
        <f>IF(E318&gt;F318,"승",IF(E318&lt;F318,"패"))</f>
        <v>패</v>
      </c>
      <c r="E318">
        <f>COUNTIF(M318:M325,"승")</f>
        <v>2</v>
      </c>
      <c r="F318">
        <f>COUNTA(M318:M325)-E318</f>
        <v>6</v>
      </c>
      <c r="G318" s="1">
        <f>E318/(E318+F318)</f>
        <v>0.25</v>
      </c>
      <c r="H318" s="1" t="s">
        <v>144</v>
      </c>
      <c r="I318" s="2">
        <v>1</v>
      </c>
      <c r="J318" t="s">
        <v>559</v>
      </c>
      <c r="K318" t="s">
        <v>182</v>
      </c>
      <c r="L318" t="str">
        <f t="shared" si="4"/>
        <v>Z</v>
      </c>
      <c r="M318" t="s">
        <v>4</v>
      </c>
      <c r="N318" t="s">
        <v>120</v>
      </c>
      <c r="O318" t="s">
        <v>813</v>
      </c>
    </row>
    <row r="319" spans="1:15" x14ac:dyDescent="0.6">
      <c r="I319" s="2">
        <v>2</v>
      </c>
      <c r="J319">
        <v>2</v>
      </c>
      <c r="K319" t="s">
        <v>8</v>
      </c>
      <c r="L319" t="str">
        <f t="shared" si="4"/>
        <v>P</v>
      </c>
      <c r="M319" t="s">
        <v>4</v>
      </c>
      <c r="N319" t="s">
        <v>149</v>
      </c>
      <c r="O319" t="s">
        <v>814</v>
      </c>
    </row>
    <row r="320" spans="1:15" x14ac:dyDescent="0.6">
      <c r="I320" s="2">
        <v>3</v>
      </c>
      <c r="J320">
        <v>3</v>
      </c>
      <c r="K320" t="s">
        <v>57</v>
      </c>
      <c r="L320" t="str">
        <f t="shared" si="4"/>
        <v>P</v>
      </c>
      <c r="M320" t="s">
        <v>4</v>
      </c>
      <c r="N320" t="s">
        <v>150</v>
      </c>
      <c r="O320" t="s">
        <v>815</v>
      </c>
    </row>
    <row r="321" spans="1:15" x14ac:dyDescent="0.6">
      <c r="I321" s="2">
        <v>4</v>
      </c>
      <c r="J321" t="s">
        <v>559</v>
      </c>
      <c r="K321" t="s">
        <v>16</v>
      </c>
      <c r="L321" t="str">
        <f t="shared" si="4"/>
        <v>T</v>
      </c>
      <c r="M321" t="s">
        <v>3</v>
      </c>
      <c r="N321" t="s">
        <v>122</v>
      </c>
      <c r="O321" t="s">
        <v>816</v>
      </c>
    </row>
    <row r="322" spans="1:15" x14ac:dyDescent="0.6">
      <c r="I322" s="2">
        <v>5</v>
      </c>
      <c r="J322">
        <v>2</v>
      </c>
      <c r="K322" t="s">
        <v>76</v>
      </c>
      <c r="L322" t="str">
        <f t="shared" si="4"/>
        <v>T</v>
      </c>
      <c r="M322" t="s">
        <v>4</v>
      </c>
      <c r="N322" t="s">
        <v>86</v>
      </c>
      <c r="O322" t="s">
        <v>817</v>
      </c>
    </row>
    <row r="323" spans="1:15" x14ac:dyDescent="0.6">
      <c r="I323" s="2">
        <v>6</v>
      </c>
      <c r="J323">
        <v>3</v>
      </c>
      <c r="K323" t="s">
        <v>57</v>
      </c>
      <c r="L323" t="str">
        <f t="shared" ref="L323:L386" si="5">INDEX($R$2:$R$99,MATCH(K323,$Q$2:$Q$99,0))</f>
        <v>P</v>
      </c>
      <c r="M323" t="s">
        <v>4</v>
      </c>
      <c r="N323" t="s">
        <v>150</v>
      </c>
      <c r="O323" t="s">
        <v>818</v>
      </c>
    </row>
    <row r="324" spans="1:15" x14ac:dyDescent="0.6">
      <c r="I324" s="2">
        <v>7</v>
      </c>
      <c r="J324">
        <v>4</v>
      </c>
      <c r="K324" t="s">
        <v>8</v>
      </c>
      <c r="L324" t="str">
        <f t="shared" si="5"/>
        <v>P</v>
      </c>
      <c r="M324" t="s">
        <v>3</v>
      </c>
      <c r="N324" t="s">
        <v>149</v>
      </c>
      <c r="O324" t="s">
        <v>819</v>
      </c>
    </row>
    <row r="325" spans="1:15" x14ac:dyDescent="0.6">
      <c r="I325" s="2">
        <v>8</v>
      </c>
      <c r="J325">
        <v>5</v>
      </c>
      <c r="K325" t="s">
        <v>182</v>
      </c>
      <c r="L325" t="str">
        <f t="shared" si="5"/>
        <v>Z</v>
      </c>
      <c r="M325" t="s">
        <v>4</v>
      </c>
      <c r="N325" t="s">
        <v>120</v>
      </c>
      <c r="O325" t="s">
        <v>820</v>
      </c>
    </row>
    <row r="326" spans="1:15" x14ac:dyDescent="0.6">
      <c r="A326" t="s">
        <v>211</v>
      </c>
      <c r="B326" t="s">
        <v>56</v>
      </c>
      <c r="C326" t="s">
        <v>94</v>
      </c>
      <c r="D326" t="str">
        <f>IF(E326&gt;F326,"승",IF(E326&lt;F326,"패"))</f>
        <v>승</v>
      </c>
      <c r="E326">
        <f>COUNTIF(M326:M333,"승")</f>
        <v>6</v>
      </c>
      <c r="F326">
        <f>COUNTA(M326:M333)-E326</f>
        <v>2</v>
      </c>
      <c r="G326" s="1">
        <f>E326/(E326+F326)</f>
        <v>0.75</v>
      </c>
      <c r="H326" s="1" t="s">
        <v>46</v>
      </c>
      <c r="I326" s="2">
        <v>1</v>
      </c>
      <c r="J326" t="s">
        <v>559</v>
      </c>
      <c r="K326" t="s">
        <v>177</v>
      </c>
      <c r="L326" t="str">
        <f t="shared" si="5"/>
        <v>T</v>
      </c>
      <c r="M326" t="s">
        <v>3</v>
      </c>
      <c r="N326" t="s">
        <v>212</v>
      </c>
      <c r="O326" t="s">
        <v>821</v>
      </c>
    </row>
    <row r="327" spans="1:15" x14ac:dyDescent="0.6">
      <c r="I327" s="2">
        <v>2</v>
      </c>
      <c r="J327">
        <v>2</v>
      </c>
      <c r="K327" t="s">
        <v>16</v>
      </c>
      <c r="L327" t="str">
        <f t="shared" si="5"/>
        <v>T</v>
      </c>
      <c r="M327" t="s">
        <v>3</v>
      </c>
      <c r="N327" t="s">
        <v>213</v>
      </c>
      <c r="O327" t="s">
        <v>822</v>
      </c>
    </row>
    <row r="328" spans="1:15" x14ac:dyDescent="0.6">
      <c r="I328" s="2">
        <v>3</v>
      </c>
      <c r="J328">
        <v>3</v>
      </c>
      <c r="K328" t="s">
        <v>66</v>
      </c>
      <c r="L328" t="str">
        <f t="shared" si="5"/>
        <v>Z</v>
      </c>
      <c r="M328" t="s">
        <v>3</v>
      </c>
      <c r="N328" t="s">
        <v>61</v>
      </c>
      <c r="O328" t="s">
        <v>823</v>
      </c>
    </row>
    <row r="329" spans="1:15" x14ac:dyDescent="0.6">
      <c r="I329" s="2">
        <v>4</v>
      </c>
      <c r="J329" t="s">
        <v>559</v>
      </c>
      <c r="K329" t="s">
        <v>182</v>
      </c>
      <c r="L329" t="str">
        <f t="shared" si="5"/>
        <v>Z</v>
      </c>
      <c r="M329" t="s">
        <v>3</v>
      </c>
      <c r="N329" t="s">
        <v>60</v>
      </c>
      <c r="O329" t="s">
        <v>824</v>
      </c>
    </row>
    <row r="330" spans="1:15" x14ac:dyDescent="0.6">
      <c r="I330" s="2">
        <v>5</v>
      </c>
      <c r="J330">
        <v>2</v>
      </c>
      <c r="K330" t="s">
        <v>66</v>
      </c>
      <c r="L330" t="str">
        <f t="shared" si="5"/>
        <v>Z</v>
      </c>
      <c r="M330" t="s">
        <v>3</v>
      </c>
      <c r="N330" t="s">
        <v>58</v>
      </c>
      <c r="O330" t="s">
        <v>825</v>
      </c>
    </row>
    <row r="331" spans="1:15" x14ac:dyDescent="0.6">
      <c r="I331" s="2">
        <v>6</v>
      </c>
      <c r="J331">
        <v>3</v>
      </c>
      <c r="K331" t="s">
        <v>18</v>
      </c>
      <c r="L331" t="str">
        <f t="shared" si="5"/>
        <v>Z</v>
      </c>
      <c r="M331" t="s">
        <v>4</v>
      </c>
      <c r="N331" t="s">
        <v>61</v>
      </c>
      <c r="O331" t="s">
        <v>826</v>
      </c>
    </row>
    <row r="332" spans="1:15" x14ac:dyDescent="0.6">
      <c r="I332" s="2">
        <v>7</v>
      </c>
      <c r="J332">
        <v>4</v>
      </c>
      <c r="K332" t="s">
        <v>16</v>
      </c>
      <c r="L332" t="str">
        <f t="shared" si="5"/>
        <v>T</v>
      </c>
      <c r="M332" t="s">
        <v>4</v>
      </c>
      <c r="N332" t="s">
        <v>214</v>
      </c>
      <c r="O332" t="s">
        <v>827</v>
      </c>
    </row>
    <row r="333" spans="1:15" x14ac:dyDescent="0.6">
      <c r="I333" s="2">
        <v>8</v>
      </c>
      <c r="J333">
        <v>5</v>
      </c>
      <c r="K333" t="s">
        <v>177</v>
      </c>
      <c r="L333" t="str">
        <f t="shared" si="5"/>
        <v>T</v>
      </c>
      <c r="M333" t="s">
        <v>3</v>
      </c>
      <c r="N333" t="s">
        <v>212</v>
      </c>
      <c r="O333" t="s">
        <v>828</v>
      </c>
    </row>
    <row r="334" spans="1:15" x14ac:dyDescent="0.6">
      <c r="A334" t="s">
        <v>211</v>
      </c>
      <c r="B334" t="s">
        <v>215</v>
      </c>
      <c r="C334" t="s">
        <v>94</v>
      </c>
      <c r="D334" t="str">
        <f>IF(E334&gt;F334,"승",IF(E334&lt;F334,"패"))</f>
        <v>패</v>
      </c>
      <c r="E334">
        <f>COUNTIF(M334:M338,"승")</f>
        <v>1</v>
      </c>
      <c r="F334">
        <f>COUNTA(M334:M338)-E334</f>
        <v>4</v>
      </c>
      <c r="G334" s="1">
        <f>E334/(E334+F334)</f>
        <v>0.2</v>
      </c>
      <c r="H334" s="1"/>
      <c r="I334" s="2">
        <v>1</v>
      </c>
      <c r="J334" t="s">
        <v>559</v>
      </c>
      <c r="K334" t="s">
        <v>67</v>
      </c>
      <c r="L334" t="str">
        <f t="shared" si="5"/>
        <v>P</v>
      </c>
      <c r="M334" t="s">
        <v>4</v>
      </c>
      <c r="N334" t="s">
        <v>70</v>
      </c>
      <c r="O334" t="s">
        <v>829</v>
      </c>
    </row>
    <row r="335" spans="1:15" x14ac:dyDescent="0.6">
      <c r="I335" s="2">
        <v>2</v>
      </c>
      <c r="J335">
        <v>2</v>
      </c>
      <c r="K335" t="s">
        <v>216</v>
      </c>
      <c r="L335" t="str">
        <f t="shared" si="5"/>
        <v>P</v>
      </c>
      <c r="M335" t="s">
        <v>3</v>
      </c>
      <c r="N335" t="s">
        <v>217</v>
      </c>
      <c r="O335" t="s">
        <v>830</v>
      </c>
    </row>
    <row r="336" spans="1:15" x14ac:dyDescent="0.6">
      <c r="I336" s="2">
        <v>3</v>
      </c>
      <c r="J336">
        <v>3</v>
      </c>
      <c r="K336" t="s">
        <v>176</v>
      </c>
      <c r="L336" t="str">
        <f t="shared" si="5"/>
        <v>Z</v>
      </c>
      <c r="M336" t="s">
        <v>4</v>
      </c>
      <c r="N336" t="s">
        <v>218</v>
      </c>
      <c r="O336" t="s">
        <v>831</v>
      </c>
    </row>
    <row r="337" spans="1:15" x14ac:dyDescent="0.6">
      <c r="I337" s="2">
        <v>4</v>
      </c>
      <c r="J337">
        <v>4</v>
      </c>
      <c r="K337" t="s">
        <v>8</v>
      </c>
      <c r="L337" t="str">
        <f t="shared" si="5"/>
        <v>P</v>
      </c>
      <c r="M337" t="s">
        <v>4</v>
      </c>
      <c r="N337" t="s">
        <v>218</v>
      </c>
      <c r="O337" t="s">
        <v>832</v>
      </c>
    </row>
    <row r="338" spans="1:15" x14ac:dyDescent="0.6">
      <c r="I338" s="2">
        <v>5</v>
      </c>
      <c r="J338">
        <v>5</v>
      </c>
      <c r="K338" t="s">
        <v>57</v>
      </c>
      <c r="L338" t="str">
        <f t="shared" si="5"/>
        <v>P</v>
      </c>
      <c r="M338" t="s">
        <v>4</v>
      </c>
      <c r="N338" t="s">
        <v>219</v>
      </c>
      <c r="O338" t="s">
        <v>833</v>
      </c>
    </row>
    <row r="339" spans="1:15" x14ac:dyDescent="0.6">
      <c r="A339" t="s">
        <v>220</v>
      </c>
      <c r="B339" t="s">
        <v>131</v>
      </c>
      <c r="C339" t="s">
        <v>55</v>
      </c>
      <c r="D339" t="str">
        <f>IF(E339&gt;F339,"승",IF(E339&lt;F339,"패"))</f>
        <v>패</v>
      </c>
      <c r="E339">
        <f>COUNTIF(M339:M347,"승")</f>
        <v>4</v>
      </c>
      <c r="F339">
        <f>COUNTA(M339:M347)-E339</f>
        <v>5</v>
      </c>
      <c r="G339" s="1">
        <f>E339/(E339+F339)</f>
        <v>0.44444444444444442</v>
      </c>
      <c r="I339" s="2">
        <v>1</v>
      </c>
      <c r="J339" t="s">
        <v>559</v>
      </c>
      <c r="K339" t="s">
        <v>76</v>
      </c>
      <c r="L339" t="str">
        <f t="shared" si="5"/>
        <v>T</v>
      </c>
      <c r="M339" t="s">
        <v>3</v>
      </c>
      <c r="N339" t="s">
        <v>29</v>
      </c>
      <c r="O339" t="s">
        <v>834</v>
      </c>
    </row>
    <row r="340" spans="1:15" x14ac:dyDescent="0.6">
      <c r="I340" s="2">
        <v>2</v>
      </c>
      <c r="J340">
        <v>2</v>
      </c>
      <c r="K340" t="s">
        <v>83</v>
      </c>
      <c r="L340" t="str">
        <f t="shared" si="5"/>
        <v>Z</v>
      </c>
      <c r="M340" t="s">
        <v>4</v>
      </c>
      <c r="N340" t="s">
        <v>221</v>
      </c>
      <c r="O340" t="s">
        <v>835</v>
      </c>
    </row>
    <row r="341" spans="1:15" x14ac:dyDescent="0.6">
      <c r="I341" s="2">
        <v>3</v>
      </c>
      <c r="J341">
        <v>3</v>
      </c>
      <c r="K341" t="s">
        <v>66</v>
      </c>
      <c r="L341" t="str">
        <f t="shared" si="5"/>
        <v>Z</v>
      </c>
      <c r="M341" t="s">
        <v>3</v>
      </c>
      <c r="N341" t="s">
        <v>207</v>
      </c>
      <c r="O341" t="s">
        <v>836</v>
      </c>
    </row>
    <row r="342" spans="1:15" x14ac:dyDescent="0.6">
      <c r="I342" s="2">
        <v>4</v>
      </c>
      <c r="J342">
        <v>4</v>
      </c>
      <c r="K342" t="s">
        <v>8</v>
      </c>
      <c r="L342" t="str">
        <f t="shared" si="5"/>
        <v>P</v>
      </c>
      <c r="M342" t="s">
        <v>4</v>
      </c>
      <c r="N342" t="s">
        <v>209</v>
      </c>
      <c r="O342" t="s">
        <v>837</v>
      </c>
    </row>
    <row r="343" spans="1:15" x14ac:dyDescent="0.6">
      <c r="I343" s="2">
        <v>5</v>
      </c>
      <c r="J343">
        <v>5</v>
      </c>
      <c r="K343" t="s">
        <v>177</v>
      </c>
      <c r="L343" t="str">
        <f t="shared" si="5"/>
        <v>T</v>
      </c>
      <c r="M343" t="s">
        <v>3</v>
      </c>
      <c r="N343" t="s">
        <v>20</v>
      </c>
      <c r="O343" t="s">
        <v>838</v>
      </c>
    </row>
    <row r="344" spans="1:15" x14ac:dyDescent="0.6">
      <c r="I344" s="2">
        <v>6</v>
      </c>
      <c r="J344">
        <v>6</v>
      </c>
      <c r="K344" t="s">
        <v>182</v>
      </c>
      <c r="L344" t="str">
        <f t="shared" si="5"/>
        <v>Z</v>
      </c>
      <c r="M344" t="s">
        <v>3</v>
      </c>
      <c r="N344" t="s">
        <v>206</v>
      </c>
      <c r="O344" t="s">
        <v>839</v>
      </c>
    </row>
    <row r="345" spans="1:15" x14ac:dyDescent="0.6">
      <c r="I345" s="2">
        <v>7</v>
      </c>
      <c r="J345">
        <v>7</v>
      </c>
      <c r="K345" t="s">
        <v>18</v>
      </c>
      <c r="L345" t="str">
        <f t="shared" si="5"/>
        <v>Z</v>
      </c>
      <c r="M345" t="s">
        <v>4</v>
      </c>
      <c r="N345" t="s">
        <v>135</v>
      </c>
      <c r="O345" t="s">
        <v>840</v>
      </c>
    </row>
    <row r="346" spans="1:15" x14ac:dyDescent="0.6">
      <c r="I346" s="2">
        <v>8</v>
      </c>
      <c r="J346">
        <v>8</v>
      </c>
      <c r="K346" t="s">
        <v>57</v>
      </c>
      <c r="L346" t="str">
        <f t="shared" si="5"/>
        <v>P</v>
      </c>
      <c r="M346" t="s">
        <v>4</v>
      </c>
      <c r="N346" t="s">
        <v>222</v>
      </c>
      <c r="O346" t="s">
        <v>841</v>
      </c>
    </row>
    <row r="347" spans="1:15" x14ac:dyDescent="0.6">
      <c r="I347" s="2">
        <v>9</v>
      </c>
      <c r="J347" t="s">
        <v>562</v>
      </c>
      <c r="K347" t="s">
        <v>57</v>
      </c>
      <c r="L347" t="str">
        <f t="shared" si="5"/>
        <v>P</v>
      </c>
      <c r="M347" t="s">
        <v>4</v>
      </c>
      <c r="N347" t="s">
        <v>222</v>
      </c>
      <c r="O347" t="s">
        <v>842</v>
      </c>
    </row>
    <row r="348" spans="1:15" x14ac:dyDescent="0.6">
      <c r="A348" t="s">
        <v>223</v>
      </c>
      <c r="B348" t="s">
        <v>224</v>
      </c>
      <c r="C348" t="s">
        <v>94</v>
      </c>
      <c r="D348" t="str">
        <f>IF(E348&gt;F348,"승",IF(E348&lt;F348,"패"))</f>
        <v>승</v>
      </c>
      <c r="E348">
        <f>COUNTIF(M348:M354,"승")</f>
        <v>5</v>
      </c>
      <c r="F348">
        <f>COUNTA(M348:M354)-E348</f>
        <v>2</v>
      </c>
      <c r="G348" s="1">
        <f>E348/(E348+F348)</f>
        <v>0.7142857142857143</v>
      </c>
      <c r="I348" s="2">
        <v>1</v>
      </c>
      <c r="J348" t="s">
        <v>559</v>
      </c>
      <c r="K348" t="s">
        <v>66</v>
      </c>
      <c r="L348" t="str">
        <f t="shared" si="5"/>
        <v>Z</v>
      </c>
      <c r="M348" t="s">
        <v>4</v>
      </c>
      <c r="N348" t="s">
        <v>225</v>
      </c>
      <c r="O348" t="s">
        <v>843</v>
      </c>
    </row>
    <row r="349" spans="1:15" x14ac:dyDescent="0.6">
      <c r="I349" s="2">
        <v>2</v>
      </c>
      <c r="J349">
        <v>2</v>
      </c>
      <c r="K349" t="s">
        <v>76</v>
      </c>
      <c r="L349" t="str">
        <f t="shared" si="5"/>
        <v>T</v>
      </c>
      <c r="M349" t="s">
        <v>3</v>
      </c>
      <c r="N349" t="s">
        <v>226</v>
      </c>
      <c r="O349" t="s">
        <v>844</v>
      </c>
    </row>
    <row r="350" spans="1:15" x14ac:dyDescent="0.6">
      <c r="I350" s="2">
        <v>3</v>
      </c>
      <c r="J350">
        <v>3</v>
      </c>
      <c r="K350" t="s">
        <v>57</v>
      </c>
      <c r="L350" t="str">
        <f t="shared" si="5"/>
        <v>P</v>
      </c>
      <c r="M350" t="s">
        <v>3</v>
      </c>
      <c r="N350" t="s">
        <v>227</v>
      </c>
      <c r="O350" t="s">
        <v>845</v>
      </c>
    </row>
    <row r="351" spans="1:15" x14ac:dyDescent="0.6">
      <c r="I351" s="2">
        <v>4</v>
      </c>
      <c r="J351">
        <v>4</v>
      </c>
      <c r="K351" t="s">
        <v>177</v>
      </c>
      <c r="L351" t="str">
        <f t="shared" si="5"/>
        <v>T</v>
      </c>
      <c r="M351" t="s">
        <v>4</v>
      </c>
      <c r="N351" t="s">
        <v>228</v>
      </c>
      <c r="O351" t="s">
        <v>846</v>
      </c>
    </row>
    <row r="352" spans="1:15" x14ac:dyDescent="0.6">
      <c r="I352" s="2">
        <v>5</v>
      </c>
      <c r="J352">
        <v>5</v>
      </c>
      <c r="K352" t="s">
        <v>182</v>
      </c>
      <c r="L352" t="str">
        <f t="shared" si="5"/>
        <v>Z</v>
      </c>
      <c r="M352" t="s">
        <v>3</v>
      </c>
      <c r="N352" t="s">
        <v>229</v>
      </c>
      <c r="O352" t="s">
        <v>847</v>
      </c>
    </row>
    <row r="353" spans="1:15" x14ac:dyDescent="0.6">
      <c r="I353" s="2">
        <v>6</v>
      </c>
      <c r="J353">
        <v>6</v>
      </c>
      <c r="K353" t="s">
        <v>8</v>
      </c>
      <c r="L353" t="str">
        <f t="shared" si="5"/>
        <v>P</v>
      </c>
      <c r="M353" t="s">
        <v>3</v>
      </c>
      <c r="N353" t="s">
        <v>230</v>
      </c>
      <c r="O353" t="s">
        <v>848</v>
      </c>
    </row>
    <row r="354" spans="1:15" x14ac:dyDescent="0.6">
      <c r="I354" s="2">
        <v>7</v>
      </c>
      <c r="J354">
        <v>7</v>
      </c>
      <c r="K354" t="s">
        <v>176</v>
      </c>
      <c r="L354" t="str">
        <f t="shared" si="5"/>
        <v>Z</v>
      </c>
      <c r="M354" t="s">
        <v>3</v>
      </c>
      <c r="N354" t="s">
        <v>231</v>
      </c>
      <c r="O354" t="s">
        <v>849</v>
      </c>
    </row>
    <row r="355" spans="1:15" x14ac:dyDescent="0.6">
      <c r="A355" t="s">
        <v>232</v>
      </c>
      <c r="B355" t="s">
        <v>56</v>
      </c>
      <c r="C355" t="s">
        <v>94</v>
      </c>
      <c r="D355" t="str">
        <f>IF(E355&gt;F355,"승",IF(E355&lt;F355,"패"))</f>
        <v>승</v>
      </c>
      <c r="E355">
        <f>COUNTIF(M355:M362,"승")</f>
        <v>5</v>
      </c>
      <c r="F355">
        <f>COUNTA(M355:M362)-E355</f>
        <v>3</v>
      </c>
      <c r="G355" s="1">
        <f>E355/(E355+F355)</f>
        <v>0.625</v>
      </c>
      <c r="I355" s="2">
        <v>1</v>
      </c>
      <c r="J355" t="s">
        <v>559</v>
      </c>
      <c r="K355" t="s">
        <v>16</v>
      </c>
      <c r="L355" t="str">
        <f t="shared" si="5"/>
        <v>T</v>
      </c>
      <c r="M355" t="s">
        <v>3</v>
      </c>
      <c r="N355" t="s">
        <v>213</v>
      </c>
      <c r="O355" t="s">
        <v>850</v>
      </c>
    </row>
    <row r="356" spans="1:15" x14ac:dyDescent="0.6">
      <c r="I356" s="2">
        <v>2</v>
      </c>
      <c r="J356">
        <v>2</v>
      </c>
      <c r="K356" t="s">
        <v>66</v>
      </c>
      <c r="L356" t="str">
        <f t="shared" si="5"/>
        <v>Z</v>
      </c>
      <c r="M356" t="s">
        <v>3</v>
      </c>
      <c r="N356" t="s">
        <v>58</v>
      </c>
      <c r="O356" t="s">
        <v>851</v>
      </c>
    </row>
    <row r="357" spans="1:15" x14ac:dyDescent="0.6">
      <c r="I357" s="2">
        <v>3</v>
      </c>
      <c r="J357">
        <v>3</v>
      </c>
      <c r="K357" t="s">
        <v>177</v>
      </c>
      <c r="L357" t="str">
        <f t="shared" si="5"/>
        <v>T</v>
      </c>
      <c r="M357" t="s">
        <v>3</v>
      </c>
      <c r="N357" t="s">
        <v>44</v>
      </c>
      <c r="O357" t="s">
        <v>852</v>
      </c>
    </row>
    <row r="358" spans="1:15" x14ac:dyDescent="0.6">
      <c r="I358" s="2">
        <v>4</v>
      </c>
      <c r="J358">
        <v>4</v>
      </c>
      <c r="K358" t="s">
        <v>67</v>
      </c>
      <c r="L358" t="str">
        <f t="shared" si="5"/>
        <v>P</v>
      </c>
      <c r="M358" t="s">
        <v>4</v>
      </c>
      <c r="N358" t="s">
        <v>154</v>
      </c>
      <c r="O358" t="s">
        <v>853</v>
      </c>
    </row>
    <row r="359" spans="1:15" x14ac:dyDescent="0.6">
      <c r="I359" s="2">
        <v>5</v>
      </c>
      <c r="J359">
        <v>5</v>
      </c>
      <c r="K359" t="s">
        <v>182</v>
      </c>
      <c r="L359" t="str">
        <f t="shared" si="5"/>
        <v>Z</v>
      </c>
      <c r="M359" t="s">
        <v>4</v>
      </c>
      <c r="N359" t="s">
        <v>60</v>
      </c>
      <c r="O359" t="s">
        <v>854</v>
      </c>
    </row>
    <row r="360" spans="1:15" x14ac:dyDescent="0.6">
      <c r="I360" s="2">
        <v>6</v>
      </c>
      <c r="J360">
        <v>6</v>
      </c>
      <c r="K360" t="s">
        <v>67</v>
      </c>
      <c r="L360" t="str">
        <f t="shared" si="5"/>
        <v>P</v>
      </c>
      <c r="M360" t="s">
        <v>4</v>
      </c>
      <c r="N360" t="s">
        <v>138</v>
      </c>
      <c r="O360" t="s">
        <v>855</v>
      </c>
    </row>
    <row r="361" spans="1:15" x14ac:dyDescent="0.6">
      <c r="I361" s="2">
        <v>7</v>
      </c>
      <c r="J361">
        <v>7</v>
      </c>
      <c r="K361" t="s">
        <v>8</v>
      </c>
      <c r="L361" t="str">
        <f t="shared" si="5"/>
        <v>P</v>
      </c>
      <c r="M361" t="s">
        <v>3</v>
      </c>
      <c r="N361" t="s">
        <v>87</v>
      </c>
      <c r="O361" t="s">
        <v>856</v>
      </c>
    </row>
    <row r="362" spans="1:15" x14ac:dyDescent="0.6">
      <c r="I362" s="2">
        <v>8</v>
      </c>
      <c r="J362">
        <v>8</v>
      </c>
      <c r="K362" t="s">
        <v>176</v>
      </c>
      <c r="L362" t="str">
        <f t="shared" si="5"/>
        <v>Z</v>
      </c>
      <c r="M362" t="s">
        <v>3</v>
      </c>
      <c r="N362" t="s">
        <v>87</v>
      </c>
      <c r="O362" t="s">
        <v>857</v>
      </c>
    </row>
    <row r="363" spans="1:15" x14ac:dyDescent="0.6">
      <c r="A363" t="s">
        <v>232</v>
      </c>
      <c r="B363" t="s">
        <v>65</v>
      </c>
      <c r="C363" t="s">
        <v>94</v>
      </c>
      <c r="D363" t="str">
        <f>IF(E363&gt;F363,"승",IF(E363&lt;F363,"패"))</f>
        <v>패</v>
      </c>
      <c r="E363">
        <f>COUNTIF(M363:M370,"승")</f>
        <v>2</v>
      </c>
      <c r="F363">
        <f>COUNTA(M363:M370)-E363</f>
        <v>6</v>
      </c>
      <c r="G363" s="1">
        <f>E363/(E363+F363)</f>
        <v>0.25</v>
      </c>
      <c r="H363" s="1" t="s">
        <v>144</v>
      </c>
      <c r="I363" s="2">
        <v>1</v>
      </c>
      <c r="J363" t="s">
        <v>559</v>
      </c>
      <c r="K363" t="s">
        <v>182</v>
      </c>
      <c r="L363" t="str">
        <f t="shared" si="5"/>
        <v>Z</v>
      </c>
      <c r="M363" t="s">
        <v>4</v>
      </c>
      <c r="N363" t="s">
        <v>78</v>
      </c>
      <c r="O363" t="s">
        <v>858</v>
      </c>
    </row>
    <row r="364" spans="1:15" x14ac:dyDescent="0.6">
      <c r="I364" s="2">
        <v>2</v>
      </c>
      <c r="J364">
        <v>2</v>
      </c>
      <c r="K364" t="s">
        <v>176</v>
      </c>
      <c r="L364" t="str">
        <f t="shared" si="5"/>
        <v>Z</v>
      </c>
      <c r="M364" t="s">
        <v>4</v>
      </c>
      <c r="N364" t="s">
        <v>183</v>
      </c>
      <c r="O364" t="s">
        <v>859</v>
      </c>
    </row>
    <row r="365" spans="1:15" x14ac:dyDescent="0.6">
      <c r="I365" s="2">
        <v>3</v>
      </c>
      <c r="J365">
        <v>3</v>
      </c>
      <c r="K365" t="s">
        <v>177</v>
      </c>
      <c r="L365" t="str">
        <f t="shared" si="5"/>
        <v>T</v>
      </c>
      <c r="M365" t="s">
        <v>3</v>
      </c>
      <c r="N365" t="s">
        <v>77</v>
      </c>
      <c r="O365" t="s">
        <v>860</v>
      </c>
    </row>
    <row r="366" spans="1:15" x14ac:dyDescent="0.6">
      <c r="I366" s="2">
        <v>4</v>
      </c>
      <c r="J366">
        <v>4</v>
      </c>
      <c r="K366" t="s">
        <v>66</v>
      </c>
      <c r="L366" t="str">
        <f t="shared" si="5"/>
        <v>Z</v>
      </c>
      <c r="M366" t="s">
        <v>4</v>
      </c>
      <c r="N366" t="s">
        <v>185</v>
      </c>
      <c r="O366" t="s">
        <v>861</v>
      </c>
    </row>
    <row r="367" spans="1:15" x14ac:dyDescent="0.6">
      <c r="I367" s="2">
        <v>5</v>
      </c>
      <c r="J367" t="s">
        <v>559</v>
      </c>
      <c r="K367" t="s">
        <v>67</v>
      </c>
      <c r="L367" t="str">
        <f t="shared" si="5"/>
        <v>P</v>
      </c>
      <c r="M367" t="s">
        <v>4</v>
      </c>
      <c r="N367" t="s">
        <v>80</v>
      </c>
      <c r="O367" t="s">
        <v>862</v>
      </c>
    </row>
    <row r="368" spans="1:15" x14ac:dyDescent="0.6">
      <c r="I368" s="2">
        <v>6</v>
      </c>
      <c r="J368">
        <v>2</v>
      </c>
      <c r="K368" t="s">
        <v>66</v>
      </c>
      <c r="L368" t="str">
        <f t="shared" si="5"/>
        <v>Z</v>
      </c>
      <c r="M368" t="s">
        <v>4</v>
      </c>
      <c r="N368" t="s">
        <v>185</v>
      </c>
      <c r="O368" t="s">
        <v>863</v>
      </c>
    </row>
    <row r="369" spans="1:15" x14ac:dyDescent="0.6">
      <c r="I369" s="2">
        <v>7</v>
      </c>
      <c r="J369">
        <v>3</v>
      </c>
      <c r="K369" t="s">
        <v>177</v>
      </c>
      <c r="L369" t="str">
        <f t="shared" si="5"/>
        <v>T</v>
      </c>
      <c r="M369" t="s">
        <v>3</v>
      </c>
      <c r="N369" t="s">
        <v>96</v>
      </c>
      <c r="O369" t="s">
        <v>864</v>
      </c>
    </row>
    <row r="370" spans="1:15" x14ac:dyDescent="0.6">
      <c r="I370" s="2">
        <v>8</v>
      </c>
      <c r="J370">
        <v>4</v>
      </c>
      <c r="K370" t="s">
        <v>8</v>
      </c>
      <c r="L370" t="str">
        <f t="shared" si="5"/>
        <v>P</v>
      </c>
      <c r="M370" t="s">
        <v>4</v>
      </c>
      <c r="N370" t="s">
        <v>183</v>
      </c>
      <c r="O370" t="s">
        <v>865</v>
      </c>
    </row>
    <row r="371" spans="1:15" x14ac:dyDescent="0.6">
      <c r="A371" t="s">
        <v>233</v>
      </c>
      <c r="B371" t="s">
        <v>23</v>
      </c>
      <c r="C371" t="s">
        <v>171</v>
      </c>
      <c r="D371" t="str">
        <f>IF(E371&gt;F371,"승",IF(E371&lt;F371,"패"))</f>
        <v>승</v>
      </c>
      <c r="E371">
        <f>COUNTIF(M371:M376,"승")</f>
        <v>4</v>
      </c>
      <c r="F371">
        <f>COUNTA(M371:M376)-E371</f>
        <v>2</v>
      </c>
      <c r="G371" s="1">
        <f>E371/(E371+F371)</f>
        <v>0.66666666666666663</v>
      </c>
      <c r="H371" s="1"/>
      <c r="I371" s="2">
        <v>1</v>
      </c>
      <c r="J371" t="s">
        <v>559</v>
      </c>
      <c r="K371" t="s">
        <v>26</v>
      </c>
      <c r="L371" t="str">
        <f t="shared" si="5"/>
        <v>T</v>
      </c>
      <c r="M371" t="s">
        <v>3</v>
      </c>
      <c r="N371" t="s">
        <v>234</v>
      </c>
      <c r="O371" t="s">
        <v>866</v>
      </c>
    </row>
    <row r="372" spans="1:15" x14ac:dyDescent="0.6">
      <c r="I372" s="2">
        <v>2</v>
      </c>
      <c r="J372">
        <v>2</v>
      </c>
      <c r="K372" t="s">
        <v>108</v>
      </c>
      <c r="L372" t="str">
        <f t="shared" si="5"/>
        <v>T</v>
      </c>
      <c r="M372" t="s">
        <v>4</v>
      </c>
      <c r="N372" t="s">
        <v>236</v>
      </c>
      <c r="O372" t="s">
        <v>867</v>
      </c>
    </row>
    <row r="373" spans="1:15" x14ac:dyDescent="0.6">
      <c r="I373" s="2">
        <v>3</v>
      </c>
      <c r="J373">
        <v>3</v>
      </c>
      <c r="K373" t="s">
        <v>16</v>
      </c>
      <c r="L373" t="str">
        <f t="shared" si="5"/>
        <v>T</v>
      </c>
      <c r="M373" t="s">
        <v>3</v>
      </c>
      <c r="N373" t="s">
        <v>72</v>
      </c>
      <c r="O373" t="s">
        <v>868</v>
      </c>
    </row>
    <row r="374" spans="1:15" x14ac:dyDescent="0.6">
      <c r="I374" s="2">
        <v>4</v>
      </c>
      <c r="J374">
        <v>4</v>
      </c>
      <c r="K374" t="s">
        <v>177</v>
      </c>
      <c r="L374" t="str">
        <f t="shared" si="5"/>
        <v>T</v>
      </c>
      <c r="M374" t="s">
        <v>3</v>
      </c>
      <c r="N374" t="s">
        <v>228</v>
      </c>
      <c r="O374" t="s">
        <v>869</v>
      </c>
    </row>
    <row r="375" spans="1:15" x14ac:dyDescent="0.6">
      <c r="I375" s="2">
        <v>5</v>
      </c>
      <c r="J375">
        <v>5</v>
      </c>
      <c r="K375" t="s">
        <v>76</v>
      </c>
      <c r="L375" t="str">
        <f t="shared" si="5"/>
        <v>T</v>
      </c>
      <c r="M375" t="s">
        <v>4</v>
      </c>
      <c r="N375" t="s">
        <v>235</v>
      </c>
      <c r="O375" t="s">
        <v>870</v>
      </c>
    </row>
    <row r="376" spans="1:15" x14ac:dyDescent="0.6">
      <c r="I376" s="2">
        <v>6</v>
      </c>
      <c r="J376">
        <v>6</v>
      </c>
      <c r="K376" t="s">
        <v>16</v>
      </c>
      <c r="L376" t="str">
        <f t="shared" si="5"/>
        <v>T</v>
      </c>
      <c r="M376" t="s">
        <v>3</v>
      </c>
      <c r="N376" t="s">
        <v>72</v>
      </c>
      <c r="O376" t="s">
        <v>871</v>
      </c>
    </row>
    <row r="377" spans="1:15" x14ac:dyDescent="0.6">
      <c r="A377" t="s">
        <v>233</v>
      </c>
      <c r="B377" t="s">
        <v>23</v>
      </c>
      <c r="C377" t="s">
        <v>171</v>
      </c>
      <c r="D377" t="str">
        <f>IF(E377&gt;F377,"승",IF(E377&lt;F377,"패"))</f>
        <v>패</v>
      </c>
      <c r="E377">
        <f>COUNTIF(M377:M381,"승")</f>
        <v>1</v>
      </c>
      <c r="F377">
        <f>COUNTA(M377:M381)-E377</f>
        <v>4</v>
      </c>
      <c r="G377" s="1">
        <f>E377/(E377+F377)</f>
        <v>0.2</v>
      </c>
      <c r="I377" s="2">
        <v>1</v>
      </c>
      <c r="J377" t="s">
        <v>559</v>
      </c>
      <c r="K377" t="s">
        <v>16</v>
      </c>
      <c r="L377" t="str">
        <f t="shared" si="5"/>
        <v>T</v>
      </c>
      <c r="M377" t="s">
        <v>3</v>
      </c>
      <c r="N377" t="s">
        <v>72</v>
      </c>
      <c r="O377" t="s">
        <v>872</v>
      </c>
    </row>
    <row r="378" spans="1:15" x14ac:dyDescent="0.6">
      <c r="I378" s="2">
        <v>2</v>
      </c>
      <c r="J378">
        <v>2</v>
      </c>
      <c r="K378" t="s">
        <v>108</v>
      </c>
      <c r="L378" t="str">
        <f t="shared" si="5"/>
        <v>T</v>
      </c>
      <c r="M378" t="s">
        <v>4</v>
      </c>
      <c r="N378" t="s">
        <v>127</v>
      </c>
      <c r="O378" t="s">
        <v>873</v>
      </c>
    </row>
    <row r="379" spans="1:15" x14ac:dyDescent="0.6">
      <c r="I379" s="2">
        <v>3</v>
      </c>
      <c r="J379">
        <v>3</v>
      </c>
      <c r="K379" t="s">
        <v>26</v>
      </c>
      <c r="L379" t="str">
        <f t="shared" si="5"/>
        <v>T</v>
      </c>
      <c r="M379" t="s">
        <v>4</v>
      </c>
      <c r="N379" t="s">
        <v>234</v>
      </c>
      <c r="O379" t="s">
        <v>874</v>
      </c>
    </row>
    <row r="380" spans="1:15" x14ac:dyDescent="0.6">
      <c r="I380" s="2">
        <v>4</v>
      </c>
      <c r="J380">
        <v>4</v>
      </c>
      <c r="K380" t="s">
        <v>177</v>
      </c>
      <c r="L380" t="str">
        <f t="shared" si="5"/>
        <v>T</v>
      </c>
      <c r="M380" t="s">
        <v>4</v>
      </c>
      <c r="N380" t="s">
        <v>228</v>
      </c>
      <c r="O380" t="s">
        <v>875</v>
      </c>
    </row>
    <row r="381" spans="1:15" x14ac:dyDescent="0.6">
      <c r="I381" s="2">
        <v>5</v>
      </c>
      <c r="J381">
        <v>5</v>
      </c>
      <c r="K381" t="s">
        <v>76</v>
      </c>
      <c r="L381" t="str">
        <f t="shared" si="5"/>
        <v>T</v>
      </c>
      <c r="M381" t="s">
        <v>4</v>
      </c>
      <c r="N381" t="s">
        <v>201</v>
      </c>
      <c r="O381" t="s">
        <v>876</v>
      </c>
    </row>
    <row r="382" spans="1:15" x14ac:dyDescent="0.6">
      <c r="A382" t="s">
        <v>877</v>
      </c>
      <c r="B382" t="s">
        <v>174</v>
      </c>
      <c r="C382" t="s">
        <v>94</v>
      </c>
      <c r="D382" t="str">
        <f>IF(E382&gt;F382,"승",IF(E382&lt;F382,"패"))</f>
        <v>승</v>
      </c>
      <c r="E382">
        <f>COUNTIF(M382:M390,"승")</f>
        <v>6</v>
      </c>
      <c r="F382">
        <f>COUNTA(M382:M390)-E382</f>
        <v>3</v>
      </c>
      <c r="G382" s="1">
        <f>E382/(E382+F382)</f>
        <v>0.66666666666666663</v>
      </c>
      <c r="H382" s="1" t="s">
        <v>192</v>
      </c>
      <c r="I382" s="2">
        <v>1</v>
      </c>
      <c r="J382" t="s">
        <v>559</v>
      </c>
      <c r="K382" t="s">
        <v>176</v>
      </c>
      <c r="L382" t="str">
        <f t="shared" si="5"/>
        <v>Z</v>
      </c>
      <c r="M382" t="s">
        <v>3</v>
      </c>
      <c r="N382" t="s">
        <v>41</v>
      </c>
      <c r="O382" t="s">
        <v>878</v>
      </c>
    </row>
    <row r="383" spans="1:15" x14ac:dyDescent="0.6">
      <c r="I383" s="2">
        <v>2</v>
      </c>
      <c r="J383">
        <v>2</v>
      </c>
      <c r="K383" t="s">
        <v>182</v>
      </c>
      <c r="L383" t="str">
        <f t="shared" si="5"/>
        <v>Z</v>
      </c>
      <c r="M383" t="s">
        <v>3</v>
      </c>
      <c r="N383" t="s">
        <v>237</v>
      </c>
      <c r="O383" t="s">
        <v>879</v>
      </c>
    </row>
    <row r="384" spans="1:15" x14ac:dyDescent="0.6">
      <c r="I384" s="2">
        <v>3</v>
      </c>
      <c r="J384">
        <v>3</v>
      </c>
      <c r="K384" t="s">
        <v>66</v>
      </c>
      <c r="L384" t="str">
        <f t="shared" si="5"/>
        <v>Z</v>
      </c>
      <c r="M384" t="s">
        <v>3</v>
      </c>
      <c r="N384" t="s">
        <v>179</v>
      </c>
      <c r="O384" t="s">
        <v>880</v>
      </c>
    </row>
    <row r="385" spans="1:15" x14ac:dyDescent="0.6">
      <c r="I385" s="2">
        <v>4</v>
      </c>
      <c r="J385" t="s">
        <v>559</v>
      </c>
      <c r="K385" t="s">
        <v>66</v>
      </c>
      <c r="L385" t="str">
        <f t="shared" si="5"/>
        <v>Z</v>
      </c>
      <c r="M385" t="s">
        <v>3</v>
      </c>
      <c r="N385" t="s">
        <v>238</v>
      </c>
      <c r="O385" t="s">
        <v>881</v>
      </c>
    </row>
    <row r="386" spans="1:15" x14ac:dyDescent="0.6">
      <c r="I386" s="2">
        <v>5</v>
      </c>
      <c r="J386">
        <v>2</v>
      </c>
      <c r="K386" t="s">
        <v>18</v>
      </c>
      <c r="L386" t="str">
        <f t="shared" si="5"/>
        <v>Z</v>
      </c>
      <c r="M386" t="s">
        <v>4</v>
      </c>
      <c r="N386" t="s">
        <v>179</v>
      </c>
      <c r="O386" t="s">
        <v>882</v>
      </c>
    </row>
    <row r="387" spans="1:15" x14ac:dyDescent="0.6">
      <c r="I387" s="2">
        <v>6</v>
      </c>
      <c r="J387">
        <v>3</v>
      </c>
      <c r="K387" t="s">
        <v>76</v>
      </c>
      <c r="L387" t="str">
        <f t="shared" ref="L387:L451" si="6">INDEX($R$2:$R$99,MATCH(K387,$Q$2:$Q$99,0))</f>
        <v>T</v>
      </c>
      <c r="M387" t="s">
        <v>3</v>
      </c>
      <c r="N387" t="s">
        <v>237</v>
      </c>
      <c r="O387" t="s">
        <v>883</v>
      </c>
    </row>
    <row r="388" spans="1:15" x14ac:dyDescent="0.6">
      <c r="I388" s="2">
        <v>7</v>
      </c>
      <c r="J388">
        <v>4</v>
      </c>
      <c r="K388" t="s">
        <v>8</v>
      </c>
      <c r="L388" t="str">
        <f t="shared" si="6"/>
        <v>P</v>
      </c>
      <c r="M388" t="s">
        <v>4</v>
      </c>
      <c r="N388" t="s">
        <v>41</v>
      </c>
      <c r="O388" t="s">
        <v>884</v>
      </c>
    </row>
    <row r="389" spans="1:15" x14ac:dyDescent="0.6">
      <c r="I389" s="2">
        <v>8</v>
      </c>
      <c r="J389">
        <v>5</v>
      </c>
      <c r="K389" t="s">
        <v>8</v>
      </c>
      <c r="L389" t="str">
        <f t="shared" si="6"/>
        <v>P</v>
      </c>
      <c r="M389" t="s">
        <v>4</v>
      </c>
      <c r="N389" t="s">
        <v>41</v>
      </c>
      <c r="O389" t="s">
        <v>885</v>
      </c>
    </row>
    <row r="390" spans="1:15" x14ac:dyDescent="0.6">
      <c r="I390" s="2">
        <v>9</v>
      </c>
      <c r="J390" t="s">
        <v>562</v>
      </c>
      <c r="K390" t="s">
        <v>18</v>
      </c>
      <c r="L390" t="str">
        <f t="shared" si="6"/>
        <v>Z</v>
      </c>
      <c r="M390" t="s">
        <v>3</v>
      </c>
      <c r="N390" t="s">
        <v>179</v>
      </c>
      <c r="O390" t="s">
        <v>886</v>
      </c>
    </row>
    <row r="391" spans="1:15" x14ac:dyDescent="0.6">
      <c r="A391" t="s">
        <v>239</v>
      </c>
      <c r="B391" t="s">
        <v>56</v>
      </c>
      <c r="C391" t="s">
        <v>94</v>
      </c>
      <c r="D391" t="str">
        <f>IF(E391&gt;F391,"승",IF(E391&lt;F391,"패"))</f>
        <v>패</v>
      </c>
      <c r="E391">
        <f>COUNTIF(M391:M400,"승")</f>
        <v>4</v>
      </c>
      <c r="F391">
        <f>COUNTA(M391:M400)-E391</f>
        <v>6</v>
      </c>
      <c r="G391" s="1">
        <f>E391/(E391+F391)</f>
        <v>0.4</v>
      </c>
      <c r="H391" s="1" t="s">
        <v>144</v>
      </c>
      <c r="I391" s="2">
        <v>1</v>
      </c>
      <c r="J391" t="s">
        <v>559</v>
      </c>
      <c r="K391" t="s">
        <v>76</v>
      </c>
      <c r="L391" t="str">
        <f t="shared" si="6"/>
        <v>T</v>
      </c>
      <c r="M391" t="s">
        <v>4</v>
      </c>
      <c r="N391" t="s">
        <v>60</v>
      </c>
    </row>
    <row r="392" spans="1:15" x14ac:dyDescent="0.6">
      <c r="I392" s="2">
        <v>2</v>
      </c>
      <c r="J392">
        <v>2</v>
      </c>
      <c r="K392" t="s">
        <v>66</v>
      </c>
      <c r="L392" t="str">
        <f t="shared" si="6"/>
        <v>Z</v>
      </c>
      <c r="M392" t="s">
        <v>3</v>
      </c>
      <c r="N392" t="s">
        <v>61</v>
      </c>
    </row>
    <row r="393" spans="1:15" x14ac:dyDescent="0.6">
      <c r="I393" s="2">
        <v>3</v>
      </c>
      <c r="J393">
        <v>3</v>
      </c>
      <c r="K393" t="s">
        <v>8</v>
      </c>
      <c r="L393" t="str">
        <f t="shared" si="6"/>
        <v>P</v>
      </c>
      <c r="M393" t="s">
        <v>4</v>
      </c>
      <c r="N393" t="s">
        <v>87</v>
      </c>
    </row>
    <row r="394" spans="1:15" x14ac:dyDescent="0.6">
      <c r="I394" s="2">
        <v>4</v>
      </c>
      <c r="J394">
        <v>4</v>
      </c>
      <c r="K394" t="s">
        <v>18</v>
      </c>
      <c r="L394" t="str">
        <f t="shared" si="6"/>
        <v>Z</v>
      </c>
      <c r="M394" t="s">
        <v>3</v>
      </c>
      <c r="N394" t="s">
        <v>58</v>
      </c>
    </row>
    <row r="395" spans="1:15" x14ac:dyDescent="0.6">
      <c r="I395" s="2">
        <v>5</v>
      </c>
      <c r="J395">
        <v>5</v>
      </c>
      <c r="K395" t="s">
        <v>57</v>
      </c>
      <c r="L395" t="str">
        <f t="shared" si="6"/>
        <v>P</v>
      </c>
      <c r="M395" t="s">
        <v>4</v>
      </c>
      <c r="N395" t="s">
        <v>212</v>
      </c>
    </row>
    <row r="396" spans="1:15" x14ac:dyDescent="0.6">
      <c r="I396" s="2">
        <v>6</v>
      </c>
      <c r="J396" t="s">
        <v>559</v>
      </c>
      <c r="K396" t="s">
        <v>57</v>
      </c>
      <c r="L396" t="str">
        <f t="shared" si="6"/>
        <v>P</v>
      </c>
      <c r="M396" t="s">
        <v>4</v>
      </c>
      <c r="N396" t="s">
        <v>212</v>
      </c>
    </row>
    <row r="397" spans="1:15" x14ac:dyDescent="0.6">
      <c r="I397" s="2">
        <v>7</v>
      </c>
      <c r="J397">
        <v>2</v>
      </c>
      <c r="K397" t="s">
        <v>66</v>
      </c>
      <c r="L397" t="str">
        <f t="shared" si="6"/>
        <v>Z</v>
      </c>
      <c r="M397" t="s">
        <v>3</v>
      </c>
      <c r="N397" t="s">
        <v>58</v>
      </c>
    </row>
    <row r="398" spans="1:15" x14ac:dyDescent="0.6">
      <c r="I398" s="2">
        <v>8</v>
      </c>
      <c r="J398">
        <v>3</v>
      </c>
      <c r="K398" t="s">
        <v>8</v>
      </c>
      <c r="L398" t="str">
        <f t="shared" si="6"/>
        <v>P</v>
      </c>
      <c r="M398" t="s">
        <v>3</v>
      </c>
      <c r="N398" t="s">
        <v>87</v>
      </c>
    </row>
    <row r="399" spans="1:15" x14ac:dyDescent="0.6">
      <c r="I399" s="2">
        <v>9</v>
      </c>
      <c r="J399">
        <v>4</v>
      </c>
      <c r="K399" t="s">
        <v>18</v>
      </c>
      <c r="L399" t="str">
        <f t="shared" si="6"/>
        <v>Z</v>
      </c>
      <c r="M399" t="s">
        <v>4</v>
      </c>
      <c r="N399" t="s">
        <v>61</v>
      </c>
    </row>
    <row r="400" spans="1:15" x14ac:dyDescent="0.6">
      <c r="I400" s="2">
        <v>10</v>
      </c>
      <c r="J400">
        <v>5</v>
      </c>
      <c r="K400" t="s">
        <v>76</v>
      </c>
      <c r="L400" t="str">
        <f t="shared" si="6"/>
        <v>T</v>
      </c>
      <c r="M400" t="s">
        <v>4</v>
      </c>
      <c r="N400" t="s">
        <v>60</v>
      </c>
    </row>
    <row r="401" spans="1:15" x14ac:dyDescent="0.6">
      <c r="A401" t="s">
        <v>240</v>
      </c>
      <c r="C401" t="s">
        <v>47</v>
      </c>
      <c r="D401" t="str">
        <f>IF(E401&gt;F401,"승",IF(E401&lt;F401,"패"))</f>
        <v>승</v>
      </c>
      <c r="E401">
        <f>COUNTIF(M401:M407,"승")</f>
        <v>5</v>
      </c>
      <c r="F401">
        <f>COUNTA(M401:M407)-E401</f>
        <v>2</v>
      </c>
      <c r="G401" s="1">
        <f>E401/(E401+F401)</f>
        <v>0.7142857142857143</v>
      </c>
      <c r="H401" s="1"/>
      <c r="I401" s="2">
        <v>1</v>
      </c>
      <c r="J401" t="s">
        <v>559</v>
      </c>
      <c r="K401" t="s">
        <v>177</v>
      </c>
      <c r="L401" t="str">
        <f t="shared" si="6"/>
        <v>T</v>
      </c>
      <c r="M401" t="s">
        <v>4</v>
      </c>
      <c r="N401" t="s">
        <v>228</v>
      </c>
    </row>
    <row r="402" spans="1:15" x14ac:dyDescent="0.6">
      <c r="I402" s="2">
        <v>2</v>
      </c>
      <c r="J402">
        <v>2</v>
      </c>
      <c r="K402" t="s">
        <v>177</v>
      </c>
      <c r="L402" t="str">
        <f t="shared" si="6"/>
        <v>T</v>
      </c>
      <c r="M402" t="s">
        <v>3</v>
      </c>
      <c r="N402" t="s">
        <v>228</v>
      </c>
    </row>
    <row r="403" spans="1:15" x14ac:dyDescent="0.6">
      <c r="I403" s="2">
        <v>3</v>
      </c>
      <c r="J403">
        <v>3</v>
      </c>
      <c r="K403" t="s">
        <v>177</v>
      </c>
      <c r="L403" t="str">
        <f t="shared" si="6"/>
        <v>T</v>
      </c>
      <c r="M403" t="s">
        <v>4</v>
      </c>
      <c r="N403" t="s">
        <v>228</v>
      </c>
    </row>
    <row r="404" spans="1:15" x14ac:dyDescent="0.6">
      <c r="I404" s="2">
        <v>4</v>
      </c>
      <c r="J404">
        <v>4</v>
      </c>
      <c r="K404" t="s">
        <v>177</v>
      </c>
      <c r="L404" t="str">
        <f t="shared" si="6"/>
        <v>T</v>
      </c>
      <c r="M404" t="s">
        <v>3</v>
      </c>
      <c r="N404" t="s">
        <v>228</v>
      </c>
    </row>
    <row r="405" spans="1:15" x14ac:dyDescent="0.6">
      <c r="I405" s="2">
        <v>5</v>
      </c>
      <c r="J405">
        <v>5</v>
      </c>
      <c r="K405" t="s">
        <v>177</v>
      </c>
      <c r="L405" t="str">
        <f t="shared" si="6"/>
        <v>T</v>
      </c>
      <c r="M405" t="s">
        <v>3</v>
      </c>
      <c r="N405" t="s">
        <v>228</v>
      </c>
    </row>
    <row r="406" spans="1:15" x14ac:dyDescent="0.6">
      <c r="I406" s="2">
        <v>6</v>
      </c>
      <c r="J406">
        <v>6</v>
      </c>
      <c r="K406" t="s">
        <v>177</v>
      </c>
      <c r="L406" t="str">
        <f t="shared" si="6"/>
        <v>T</v>
      </c>
      <c r="M406" t="s">
        <v>3</v>
      </c>
      <c r="N406" t="s">
        <v>228</v>
      </c>
    </row>
    <row r="407" spans="1:15" x14ac:dyDescent="0.6">
      <c r="I407" s="2">
        <v>7</v>
      </c>
      <c r="J407">
        <v>7</v>
      </c>
      <c r="K407" t="s">
        <v>177</v>
      </c>
      <c r="L407" t="str">
        <f t="shared" si="6"/>
        <v>T</v>
      </c>
      <c r="M407" t="s">
        <v>3</v>
      </c>
      <c r="N407" t="s">
        <v>228</v>
      </c>
    </row>
    <row r="408" spans="1:15" x14ac:dyDescent="0.6">
      <c r="A408" t="s">
        <v>241</v>
      </c>
      <c r="B408" t="s">
        <v>93</v>
      </c>
      <c r="C408" t="s">
        <v>94</v>
      </c>
      <c r="D408" t="s">
        <v>3</v>
      </c>
      <c r="E408">
        <f>COUNTIF(M408:M415,"승")</f>
        <v>4</v>
      </c>
      <c r="F408">
        <f>COUNTA(M408:M415)-E408</f>
        <v>4</v>
      </c>
      <c r="G408" s="1">
        <f>E408/(E408+F408)</f>
        <v>0.5</v>
      </c>
      <c r="H408" s="1" t="s">
        <v>192</v>
      </c>
      <c r="I408" s="2">
        <v>1</v>
      </c>
      <c r="J408" t="s">
        <v>559</v>
      </c>
      <c r="K408" t="s">
        <v>177</v>
      </c>
      <c r="L408" t="str">
        <f t="shared" si="6"/>
        <v>T</v>
      </c>
      <c r="M408" t="s">
        <v>4</v>
      </c>
      <c r="N408" t="s">
        <v>199</v>
      </c>
    </row>
    <row r="409" spans="1:15" x14ac:dyDescent="0.6">
      <c r="I409" s="2">
        <v>2</v>
      </c>
      <c r="J409">
        <v>2</v>
      </c>
      <c r="K409" t="s">
        <v>8</v>
      </c>
      <c r="L409" t="str">
        <f t="shared" si="6"/>
        <v>P</v>
      </c>
      <c r="M409" t="s">
        <v>4</v>
      </c>
      <c r="N409" t="s">
        <v>200</v>
      </c>
    </row>
    <row r="410" spans="1:15" x14ac:dyDescent="0.6">
      <c r="I410" s="2">
        <v>3</v>
      </c>
      <c r="J410">
        <v>3</v>
      </c>
      <c r="K410" t="s">
        <v>57</v>
      </c>
      <c r="L410" t="str">
        <f t="shared" si="6"/>
        <v>P</v>
      </c>
      <c r="M410" t="s">
        <v>4</v>
      </c>
      <c r="N410" t="s">
        <v>242</v>
      </c>
    </row>
    <row r="411" spans="1:15" x14ac:dyDescent="0.6">
      <c r="I411" s="2">
        <v>4</v>
      </c>
      <c r="J411" t="s">
        <v>559</v>
      </c>
      <c r="K411" t="s">
        <v>182</v>
      </c>
      <c r="L411" t="str">
        <f t="shared" si="6"/>
        <v>Z</v>
      </c>
      <c r="M411" t="s">
        <v>3</v>
      </c>
      <c r="N411" t="s">
        <v>243</v>
      </c>
    </row>
    <row r="412" spans="1:15" x14ac:dyDescent="0.6">
      <c r="I412" s="2">
        <v>5</v>
      </c>
      <c r="J412">
        <v>2</v>
      </c>
      <c r="K412" t="s">
        <v>57</v>
      </c>
      <c r="L412" t="str">
        <f t="shared" si="6"/>
        <v>P</v>
      </c>
      <c r="M412" t="s">
        <v>4</v>
      </c>
      <c r="N412" t="s">
        <v>242</v>
      </c>
    </row>
    <row r="413" spans="1:15" x14ac:dyDescent="0.6">
      <c r="I413" s="2">
        <v>6</v>
      </c>
      <c r="J413">
        <v>3</v>
      </c>
      <c r="K413" t="s">
        <v>8</v>
      </c>
      <c r="L413" t="str">
        <f t="shared" si="6"/>
        <v>P</v>
      </c>
      <c r="M413" t="s">
        <v>3</v>
      </c>
      <c r="N413" t="s">
        <v>200</v>
      </c>
    </row>
    <row r="414" spans="1:15" x14ac:dyDescent="0.6">
      <c r="I414" s="2">
        <v>7</v>
      </c>
      <c r="J414">
        <v>4</v>
      </c>
      <c r="K414" t="s">
        <v>177</v>
      </c>
      <c r="L414" t="str">
        <f t="shared" si="6"/>
        <v>T</v>
      </c>
      <c r="M414" t="s">
        <v>3</v>
      </c>
      <c r="N414" t="s">
        <v>199</v>
      </c>
    </row>
    <row r="415" spans="1:15" x14ac:dyDescent="0.6">
      <c r="I415" s="2">
        <v>8</v>
      </c>
      <c r="J415" t="s">
        <v>562</v>
      </c>
      <c r="K415" t="s">
        <v>177</v>
      </c>
      <c r="L415" t="str">
        <f t="shared" si="6"/>
        <v>T</v>
      </c>
      <c r="M415" t="s">
        <v>3</v>
      </c>
      <c r="N415" t="s">
        <v>199</v>
      </c>
    </row>
    <row r="416" spans="1:15" x14ac:dyDescent="0.6">
      <c r="A416" t="s">
        <v>887</v>
      </c>
      <c r="B416" t="s">
        <v>82</v>
      </c>
      <c r="C416" t="s">
        <v>94</v>
      </c>
      <c r="D416" t="str">
        <f>IF(E416&gt;F416,"승",IF(E416&lt;F416,"패"))</f>
        <v>승</v>
      </c>
      <c r="E416">
        <f>COUNTIF(M416:M424,"승")</f>
        <v>5</v>
      </c>
      <c r="F416">
        <f>COUNTA(M416:M424)-E416</f>
        <v>4</v>
      </c>
      <c r="G416" s="1">
        <f>E416/(E416+F416)</f>
        <v>0.55555555555555558</v>
      </c>
      <c r="H416" s="1" t="s">
        <v>192</v>
      </c>
      <c r="I416" s="2">
        <v>1</v>
      </c>
      <c r="J416" t="s">
        <v>559</v>
      </c>
      <c r="K416" t="s">
        <v>18</v>
      </c>
      <c r="L416" t="str">
        <f t="shared" si="6"/>
        <v>Z</v>
      </c>
      <c r="M416" t="s">
        <v>3</v>
      </c>
      <c r="N416" t="s">
        <v>21</v>
      </c>
      <c r="O416" t="s">
        <v>888</v>
      </c>
    </row>
    <row r="417" spans="1:15" x14ac:dyDescent="0.6">
      <c r="I417" s="2">
        <v>2</v>
      </c>
      <c r="J417">
        <v>2</v>
      </c>
      <c r="K417" t="s">
        <v>176</v>
      </c>
      <c r="L417" t="str">
        <f t="shared" si="6"/>
        <v>Z</v>
      </c>
      <c r="M417" t="s">
        <v>4</v>
      </c>
      <c r="N417" t="s">
        <v>244</v>
      </c>
      <c r="O417" t="s">
        <v>889</v>
      </c>
    </row>
    <row r="418" spans="1:15" x14ac:dyDescent="0.6">
      <c r="I418" s="2">
        <v>3</v>
      </c>
      <c r="J418">
        <v>3</v>
      </c>
      <c r="K418" t="s">
        <v>177</v>
      </c>
      <c r="L418" t="str">
        <f t="shared" si="6"/>
        <v>T</v>
      </c>
      <c r="M418" t="s">
        <v>4</v>
      </c>
      <c r="N418" t="s">
        <v>68</v>
      </c>
      <c r="O418" t="s">
        <v>890</v>
      </c>
    </row>
    <row r="419" spans="1:15" x14ac:dyDescent="0.6">
      <c r="I419" s="2">
        <v>4</v>
      </c>
      <c r="J419">
        <v>4</v>
      </c>
      <c r="K419" t="s">
        <v>67</v>
      </c>
      <c r="L419" t="str">
        <f t="shared" si="6"/>
        <v>P</v>
      </c>
      <c r="M419" t="s">
        <v>4</v>
      </c>
      <c r="N419" t="s">
        <v>91</v>
      </c>
      <c r="O419" t="s">
        <v>891</v>
      </c>
    </row>
    <row r="420" spans="1:15" x14ac:dyDescent="0.6">
      <c r="I420" s="2">
        <v>5</v>
      </c>
      <c r="J420" t="s">
        <v>559</v>
      </c>
      <c r="K420" t="s">
        <v>67</v>
      </c>
      <c r="L420" t="str">
        <f t="shared" si="6"/>
        <v>P</v>
      </c>
      <c r="M420" t="s">
        <v>4</v>
      </c>
      <c r="N420" t="s">
        <v>91</v>
      </c>
      <c r="O420" t="s">
        <v>892</v>
      </c>
    </row>
    <row r="421" spans="1:15" x14ac:dyDescent="0.6">
      <c r="I421" s="2">
        <v>6</v>
      </c>
      <c r="J421">
        <v>2</v>
      </c>
      <c r="K421" t="s">
        <v>177</v>
      </c>
      <c r="L421" t="str">
        <f t="shared" si="6"/>
        <v>T</v>
      </c>
      <c r="M421" t="s">
        <v>3</v>
      </c>
      <c r="N421" t="s">
        <v>68</v>
      </c>
      <c r="O421" t="s">
        <v>893</v>
      </c>
    </row>
    <row r="422" spans="1:15" x14ac:dyDescent="0.6">
      <c r="I422" s="2">
        <v>7</v>
      </c>
      <c r="J422">
        <v>3</v>
      </c>
      <c r="K422" t="s">
        <v>176</v>
      </c>
      <c r="L422" t="str">
        <f t="shared" si="6"/>
        <v>Z</v>
      </c>
      <c r="M422" t="s">
        <v>3</v>
      </c>
      <c r="N422" t="s">
        <v>244</v>
      </c>
      <c r="O422" t="s">
        <v>894</v>
      </c>
    </row>
    <row r="423" spans="1:15" x14ac:dyDescent="0.6">
      <c r="I423" s="2">
        <v>8</v>
      </c>
      <c r="J423">
        <v>4</v>
      </c>
      <c r="K423" t="s">
        <v>18</v>
      </c>
      <c r="L423" t="str">
        <f t="shared" si="6"/>
        <v>Z</v>
      </c>
      <c r="M423" t="s">
        <v>3</v>
      </c>
      <c r="N423" t="s">
        <v>21</v>
      </c>
      <c r="O423" t="s">
        <v>895</v>
      </c>
    </row>
    <row r="424" spans="1:15" x14ac:dyDescent="0.6">
      <c r="I424" s="2">
        <v>9</v>
      </c>
      <c r="J424" t="s">
        <v>562</v>
      </c>
      <c r="K424" t="s">
        <v>176</v>
      </c>
      <c r="L424" t="str">
        <f t="shared" si="6"/>
        <v>Z</v>
      </c>
      <c r="M424" t="s">
        <v>3</v>
      </c>
      <c r="N424" t="s">
        <v>244</v>
      </c>
      <c r="O424" t="s">
        <v>896</v>
      </c>
    </row>
    <row r="425" spans="1:15" x14ac:dyDescent="0.6">
      <c r="A425" t="s">
        <v>246</v>
      </c>
      <c r="B425" t="s">
        <v>131</v>
      </c>
      <c r="C425" t="s">
        <v>94</v>
      </c>
      <c r="D425" t="str">
        <f>IF(E425&gt;F425,"승",IF(E425&lt;F425,"패"))</f>
        <v>승</v>
      </c>
      <c r="E425">
        <f>COUNTIF(M425:M429,"승")</f>
        <v>4</v>
      </c>
      <c r="F425">
        <f>COUNTA(M425:M429)-E425</f>
        <v>1</v>
      </c>
      <c r="G425" s="1">
        <f>E425/(E425+F425)</f>
        <v>0.8</v>
      </c>
      <c r="I425" s="2">
        <v>1</v>
      </c>
      <c r="J425" t="s">
        <v>559</v>
      </c>
      <c r="K425" t="s">
        <v>66</v>
      </c>
      <c r="L425" t="str">
        <f t="shared" si="6"/>
        <v>Z</v>
      </c>
      <c r="M425" t="s">
        <v>3</v>
      </c>
      <c r="N425" t="s">
        <v>135</v>
      </c>
      <c r="O425" t="s">
        <v>897</v>
      </c>
    </row>
    <row r="426" spans="1:15" x14ac:dyDescent="0.6">
      <c r="I426" s="2">
        <v>2</v>
      </c>
      <c r="J426">
        <v>2</v>
      </c>
      <c r="K426" t="s">
        <v>18</v>
      </c>
      <c r="L426" t="str">
        <f t="shared" si="6"/>
        <v>Z</v>
      </c>
      <c r="M426" t="s">
        <v>4</v>
      </c>
      <c r="N426" t="s">
        <v>245</v>
      </c>
      <c r="O426" t="s">
        <v>898</v>
      </c>
    </row>
    <row r="427" spans="1:15" x14ac:dyDescent="0.6">
      <c r="I427" s="2">
        <v>3</v>
      </c>
      <c r="J427">
        <v>3</v>
      </c>
      <c r="K427" t="s">
        <v>57</v>
      </c>
      <c r="L427" t="str">
        <f t="shared" si="6"/>
        <v>P</v>
      </c>
      <c r="M427" t="s">
        <v>3</v>
      </c>
      <c r="N427" t="s">
        <v>20</v>
      </c>
      <c r="O427" t="s">
        <v>899</v>
      </c>
    </row>
    <row r="428" spans="1:15" x14ac:dyDescent="0.6">
      <c r="I428" s="2">
        <v>4</v>
      </c>
      <c r="J428">
        <v>4</v>
      </c>
      <c r="K428" t="s">
        <v>66</v>
      </c>
      <c r="L428" t="str">
        <f t="shared" si="6"/>
        <v>Z</v>
      </c>
      <c r="M428" t="s">
        <v>3</v>
      </c>
      <c r="N428" t="s">
        <v>245</v>
      </c>
      <c r="O428" t="s">
        <v>900</v>
      </c>
    </row>
    <row r="429" spans="1:15" x14ac:dyDescent="0.6">
      <c r="I429" s="2">
        <v>5</v>
      </c>
      <c r="J429">
        <v>5</v>
      </c>
      <c r="K429" t="s">
        <v>18</v>
      </c>
      <c r="L429" t="str">
        <f t="shared" si="6"/>
        <v>Z</v>
      </c>
      <c r="M429" t="s">
        <v>902</v>
      </c>
      <c r="N429" t="s">
        <v>135</v>
      </c>
      <c r="O429" t="s">
        <v>901</v>
      </c>
    </row>
    <row r="430" spans="1:15" x14ac:dyDescent="0.6">
      <c r="A430" t="s">
        <v>903</v>
      </c>
      <c r="B430" t="s">
        <v>215</v>
      </c>
      <c r="C430" t="s">
        <v>94</v>
      </c>
      <c r="D430" t="str">
        <f>IF(E430&gt;F430,"승",IF(E430&lt;F430,"패"))</f>
        <v>패</v>
      </c>
      <c r="E430">
        <f>COUNTIF(M430:M434,"승")</f>
        <v>1</v>
      </c>
      <c r="F430">
        <f>COUNTA(M430:M434)-E430</f>
        <v>4</v>
      </c>
      <c r="G430" s="1">
        <f>E430/(E430+F430)</f>
        <v>0.2</v>
      </c>
      <c r="I430" s="2">
        <v>1</v>
      </c>
      <c r="J430" t="s">
        <v>559</v>
      </c>
      <c r="K430" t="s">
        <v>66</v>
      </c>
      <c r="L430" t="str">
        <f t="shared" si="6"/>
        <v>Z</v>
      </c>
      <c r="M430" t="s">
        <v>4</v>
      </c>
      <c r="N430" t="s">
        <v>247</v>
      </c>
      <c r="O430" t="s">
        <v>904</v>
      </c>
    </row>
    <row r="431" spans="1:15" x14ac:dyDescent="0.6">
      <c r="I431" s="2">
        <v>2</v>
      </c>
      <c r="J431">
        <v>2</v>
      </c>
      <c r="K431" t="s">
        <v>67</v>
      </c>
      <c r="L431" t="str">
        <f t="shared" si="6"/>
        <v>P</v>
      </c>
      <c r="M431" t="s">
        <v>4</v>
      </c>
      <c r="N431" t="s">
        <v>70</v>
      </c>
      <c r="O431" t="s">
        <v>905</v>
      </c>
    </row>
    <row r="432" spans="1:15" x14ac:dyDescent="0.6">
      <c r="I432" s="2">
        <v>3</v>
      </c>
      <c r="J432">
        <v>3</v>
      </c>
      <c r="K432" t="s">
        <v>176</v>
      </c>
      <c r="L432" t="str">
        <f t="shared" si="6"/>
        <v>Z</v>
      </c>
      <c r="M432" t="s">
        <v>4</v>
      </c>
      <c r="N432" t="s">
        <v>218</v>
      </c>
      <c r="O432" t="s">
        <v>906</v>
      </c>
    </row>
    <row r="433" spans="1:15" x14ac:dyDescent="0.6">
      <c r="I433" s="2">
        <v>4</v>
      </c>
      <c r="J433">
        <v>4</v>
      </c>
      <c r="K433" t="s">
        <v>177</v>
      </c>
      <c r="L433" t="str">
        <f t="shared" si="6"/>
        <v>T</v>
      </c>
      <c r="M433" t="s">
        <v>3</v>
      </c>
      <c r="N433" t="s">
        <v>219</v>
      </c>
      <c r="O433" t="s">
        <v>907</v>
      </c>
    </row>
    <row r="434" spans="1:15" x14ac:dyDescent="0.6">
      <c r="I434" s="2">
        <v>5</v>
      </c>
      <c r="J434">
        <v>5</v>
      </c>
      <c r="K434" t="s">
        <v>67</v>
      </c>
      <c r="L434" t="str">
        <f t="shared" si="6"/>
        <v>P</v>
      </c>
      <c r="M434" t="s">
        <v>4</v>
      </c>
      <c r="N434" t="s">
        <v>70</v>
      </c>
      <c r="O434" t="s">
        <v>908</v>
      </c>
    </row>
    <row r="435" spans="1:15" x14ac:dyDescent="0.6">
      <c r="A435" t="s">
        <v>248</v>
      </c>
      <c r="B435" t="s">
        <v>224</v>
      </c>
      <c r="C435" t="s">
        <v>171</v>
      </c>
      <c r="D435" t="str">
        <f>IF(E435&gt;F435,"승",IF(E435&lt;F435,"패"))</f>
        <v>패</v>
      </c>
      <c r="E435">
        <f>COUNTIF(M435:M441,"승")</f>
        <v>2</v>
      </c>
      <c r="F435">
        <f>COUNTA(M435:M441)-E435</f>
        <v>5</v>
      </c>
      <c r="G435" s="1">
        <f>E435/(E435+F435)</f>
        <v>0.2857142857142857</v>
      </c>
      <c r="I435" s="2">
        <v>1</v>
      </c>
      <c r="J435" t="s">
        <v>559</v>
      </c>
      <c r="K435" t="s">
        <v>26</v>
      </c>
      <c r="L435" t="str">
        <f t="shared" si="6"/>
        <v>T</v>
      </c>
      <c r="M435" t="s">
        <v>4</v>
      </c>
      <c r="N435" t="s">
        <v>249</v>
      </c>
      <c r="O435" t="s">
        <v>909</v>
      </c>
    </row>
    <row r="436" spans="1:15" x14ac:dyDescent="0.6">
      <c r="I436" s="2">
        <v>2</v>
      </c>
      <c r="K436" t="s">
        <v>35</v>
      </c>
      <c r="L436" t="str">
        <f t="shared" si="6"/>
        <v>Z</v>
      </c>
      <c r="M436" t="s">
        <v>3</v>
      </c>
      <c r="N436" t="s">
        <v>250</v>
      </c>
      <c r="O436" t="s">
        <v>910</v>
      </c>
    </row>
    <row r="437" spans="1:15" x14ac:dyDescent="0.6">
      <c r="I437" s="2">
        <v>3</v>
      </c>
      <c r="K437" t="s">
        <v>37</v>
      </c>
      <c r="L437" t="str">
        <f t="shared" si="6"/>
        <v>Z</v>
      </c>
      <c r="M437" t="s">
        <v>4</v>
      </c>
      <c r="N437" t="s">
        <v>251</v>
      </c>
      <c r="O437" t="s">
        <v>911</v>
      </c>
    </row>
    <row r="438" spans="1:15" x14ac:dyDescent="0.6">
      <c r="I438" s="2">
        <v>4</v>
      </c>
      <c r="K438" t="s">
        <v>216</v>
      </c>
      <c r="L438" t="str">
        <f t="shared" si="6"/>
        <v>P</v>
      </c>
      <c r="M438" t="s">
        <v>3</v>
      </c>
      <c r="N438" t="s">
        <v>252</v>
      </c>
      <c r="O438" t="s">
        <v>912</v>
      </c>
    </row>
    <row r="439" spans="1:15" x14ac:dyDescent="0.6">
      <c r="I439" s="2">
        <v>5</v>
      </c>
      <c r="K439" t="s">
        <v>83</v>
      </c>
      <c r="L439" t="str">
        <f t="shared" si="6"/>
        <v>Z</v>
      </c>
      <c r="M439" t="s">
        <v>4</v>
      </c>
      <c r="N439" t="s">
        <v>253</v>
      </c>
      <c r="O439" t="s">
        <v>913</v>
      </c>
    </row>
    <row r="440" spans="1:15" x14ac:dyDescent="0.6">
      <c r="I440" s="2">
        <v>6</v>
      </c>
      <c r="K440" t="s">
        <v>145</v>
      </c>
      <c r="L440" t="str">
        <f t="shared" si="6"/>
        <v>P</v>
      </c>
      <c r="M440" t="s">
        <v>4</v>
      </c>
      <c r="N440" t="s">
        <v>234</v>
      </c>
      <c r="O440" t="s">
        <v>914</v>
      </c>
    </row>
    <row r="441" spans="1:15" x14ac:dyDescent="0.6">
      <c r="I441" s="2">
        <v>7</v>
      </c>
      <c r="K441" t="s">
        <v>108</v>
      </c>
      <c r="L441" t="str">
        <f t="shared" si="6"/>
        <v>T</v>
      </c>
      <c r="M441" t="s">
        <v>4</v>
      </c>
      <c r="N441" t="s">
        <v>254</v>
      </c>
      <c r="O441" t="s">
        <v>915</v>
      </c>
    </row>
    <row r="442" spans="1:15" x14ac:dyDescent="0.6">
      <c r="A442" t="s">
        <v>255</v>
      </c>
      <c r="C442" t="s">
        <v>47</v>
      </c>
      <c r="D442" t="str">
        <f>IF(E442&gt;F442,"승",IF(E442&lt;F442,"패"))</f>
        <v>패</v>
      </c>
      <c r="E442">
        <f>COUNTIF(M442:M448,"승")</f>
        <v>3</v>
      </c>
      <c r="F442">
        <f>COUNTA(M442:M448)-E442</f>
        <v>4</v>
      </c>
      <c r="G442" s="1">
        <f>E442/(E442+F442)</f>
        <v>0.42857142857142855</v>
      </c>
      <c r="I442" s="2">
        <v>1</v>
      </c>
      <c r="J442" t="s">
        <v>559</v>
      </c>
      <c r="K442" t="s">
        <v>177</v>
      </c>
      <c r="L442" t="str">
        <f t="shared" si="6"/>
        <v>T</v>
      </c>
      <c r="M442" t="s">
        <v>4</v>
      </c>
      <c r="N442" t="s">
        <v>77</v>
      </c>
    </row>
    <row r="443" spans="1:15" x14ac:dyDescent="0.6">
      <c r="I443" s="2">
        <v>2</v>
      </c>
      <c r="J443">
        <v>2</v>
      </c>
      <c r="K443" t="s">
        <v>177</v>
      </c>
      <c r="L443" t="str">
        <f t="shared" si="6"/>
        <v>T</v>
      </c>
      <c r="M443" t="s">
        <v>3</v>
      </c>
      <c r="N443" t="s">
        <v>77</v>
      </c>
    </row>
    <row r="444" spans="1:15" x14ac:dyDescent="0.6">
      <c r="I444" s="2">
        <v>3</v>
      </c>
      <c r="J444">
        <v>3</v>
      </c>
      <c r="K444" t="s">
        <v>177</v>
      </c>
      <c r="L444" t="str">
        <f t="shared" si="6"/>
        <v>T</v>
      </c>
      <c r="M444" t="s">
        <v>4</v>
      </c>
      <c r="N444" t="s">
        <v>77</v>
      </c>
    </row>
    <row r="445" spans="1:15" x14ac:dyDescent="0.6">
      <c r="I445" s="2">
        <v>4</v>
      </c>
      <c r="J445">
        <v>4</v>
      </c>
      <c r="K445" t="s">
        <v>177</v>
      </c>
      <c r="L445" t="str">
        <f t="shared" si="6"/>
        <v>T</v>
      </c>
      <c r="M445" t="s">
        <v>4</v>
      </c>
      <c r="N445" t="s">
        <v>77</v>
      </c>
    </row>
    <row r="446" spans="1:15" x14ac:dyDescent="0.6">
      <c r="I446" s="2">
        <v>5</v>
      </c>
      <c r="J446">
        <v>5</v>
      </c>
      <c r="K446" t="s">
        <v>177</v>
      </c>
      <c r="L446" t="str">
        <f t="shared" si="6"/>
        <v>T</v>
      </c>
      <c r="M446" t="s">
        <v>4</v>
      </c>
      <c r="N446" t="s">
        <v>77</v>
      </c>
    </row>
    <row r="447" spans="1:15" x14ac:dyDescent="0.6">
      <c r="I447" s="2">
        <v>6</v>
      </c>
      <c r="J447">
        <v>6</v>
      </c>
      <c r="K447" t="s">
        <v>177</v>
      </c>
      <c r="L447" t="str">
        <f t="shared" si="6"/>
        <v>T</v>
      </c>
      <c r="M447" t="s">
        <v>3</v>
      </c>
      <c r="N447" t="s">
        <v>77</v>
      </c>
    </row>
    <row r="448" spans="1:15" x14ac:dyDescent="0.6">
      <c r="I448" s="2">
        <v>7</v>
      </c>
      <c r="J448">
        <v>7</v>
      </c>
      <c r="K448" t="s">
        <v>177</v>
      </c>
      <c r="L448" t="str">
        <f t="shared" si="6"/>
        <v>T</v>
      </c>
      <c r="M448" t="s">
        <v>3</v>
      </c>
      <c r="N448" t="s">
        <v>77</v>
      </c>
    </row>
    <row r="449" spans="1:15" x14ac:dyDescent="0.6">
      <c r="A449" t="s">
        <v>256</v>
      </c>
      <c r="B449" t="s">
        <v>23</v>
      </c>
      <c r="C449" t="s">
        <v>171</v>
      </c>
      <c r="D449" t="str">
        <f>IF(E449&gt;F449,"승",IF(E449&lt;F449,"패"))</f>
        <v>패</v>
      </c>
      <c r="E449">
        <f>COUNTIF(M449:M453,"승")</f>
        <v>1</v>
      </c>
      <c r="F449">
        <f>COUNTA(M449:M453)-E449</f>
        <v>4</v>
      </c>
      <c r="G449" s="1">
        <f>E449/(E449+F449)</f>
        <v>0.2</v>
      </c>
      <c r="I449" s="2">
        <v>1</v>
      </c>
      <c r="J449" t="s">
        <v>559</v>
      </c>
      <c r="K449" t="s">
        <v>35</v>
      </c>
      <c r="L449" t="str">
        <f t="shared" si="6"/>
        <v>Z</v>
      </c>
      <c r="M449" t="s">
        <v>4</v>
      </c>
      <c r="N449" t="s">
        <v>40</v>
      </c>
      <c r="O449" t="s">
        <v>916</v>
      </c>
    </row>
    <row r="450" spans="1:15" x14ac:dyDescent="0.6">
      <c r="I450" s="2">
        <v>2</v>
      </c>
      <c r="J450">
        <v>2</v>
      </c>
      <c r="K450" t="s">
        <v>18</v>
      </c>
      <c r="L450" t="str">
        <f t="shared" si="6"/>
        <v>Z</v>
      </c>
      <c r="M450" t="s">
        <v>4</v>
      </c>
      <c r="N450" t="s">
        <v>257</v>
      </c>
      <c r="O450" t="s">
        <v>917</v>
      </c>
    </row>
    <row r="451" spans="1:15" x14ac:dyDescent="0.6">
      <c r="I451" s="2">
        <v>3</v>
      </c>
      <c r="J451">
        <v>3</v>
      </c>
      <c r="K451" t="s">
        <v>66</v>
      </c>
      <c r="L451" t="str">
        <f t="shared" si="6"/>
        <v>Z</v>
      </c>
      <c r="M451" t="s">
        <v>4</v>
      </c>
      <c r="N451" t="s">
        <v>189</v>
      </c>
      <c r="O451" t="s">
        <v>918</v>
      </c>
    </row>
    <row r="452" spans="1:15" x14ac:dyDescent="0.6">
      <c r="I452" s="2">
        <v>4</v>
      </c>
      <c r="J452">
        <v>4</v>
      </c>
      <c r="K452" t="s">
        <v>37</v>
      </c>
      <c r="L452" t="str">
        <f t="shared" ref="L452:L515" si="7">INDEX($R$2:$R$99,MATCH(K452,$Q$2:$Q$99,0))</f>
        <v>Z</v>
      </c>
      <c r="M452" t="s">
        <v>3</v>
      </c>
      <c r="N452" t="s">
        <v>258</v>
      </c>
      <c r="O452" t="s">
        <v>919</v>
      </c>
    </row>
    <row r="453" spans="1:15" x14ac:dyDescent="0.6">
      <c r="I453" s="2">
        <v>5</v>
      </c>
      <c r="J453">
        <v>5</v>
      </c>
      <c r="K453" t="s">
        <v>182</v>
      </c>
      <c r="L453" t="str">
        <f t="shared" si="7"/>
        <v>Z</v>
      </c>
      <c r="M453" t="s">
        <v>4</v>
      </c>
      <c r="N453" t="s">
        <v>259</v>
      </c>
      <c r="O453" t="s">
        <v>920</v>
      </c>
    </row>
    <row r="454" spans="1:15" x14ac:dyDescent="0.6">
      <c r="A454" t="s">
        <v>260</v>
      </c>
      <c r="B454" t="s">
        <v>23</v>
      </c>
      <c r="C454" t="s">
        <v>171</v>
      </c>
      <c r="D454" t="str">
        <f>IF(E454&gt;F454,"승",IF(E454&lt;F454,"패"))</f>
        <v>승</v>
      </c>
      <c r="E454">
        <f>COUNTIF(M454:M457,"승")</f>
        <v>4</v>
      </c>
      <c r="F454">
        <f>COUNTA(M454:M457)-E454</f>
        <v>0</v>
      </c>
      <c r="G454" s="1">
        <f>E454/(E454+F454)</f>
        <v>1</v>
      </c>
      <c r="I454" s="2">
        <v>1</v>
      </c>
      <c r="J454" t="s">
        <v>559</v>
      </c>
      <c r="K454" t="s">
        <v>26</v>
      </c>
      <c r="L454" t="str">
        <f t="shared" si="7"/>
        <v>T</v>
      </c>
      <c r="M454" t="s">
        <v>3</v>
      </c>
      <c r="N454" t="s">
        <v>261</v>
      </c>
    </row>
    <row r="455" spans="1:15" x14ac:dyDescent="0.6">
      <c r="I455" s="2">
        <v>2</v>
      </c>
      <c r="J455">
        <v>2</v>
      </c>
      <c r="K455" t="s">
        <v>76</v>
      </c>
      <c r="L455" t="str">
        <f t="shared" si="7"/>
        <v>T</v>
      </c>
      <c r="M455" t="s">
        <v>3</v>
      </c>
      <c r="N455" t="s">
        <v>36</v>
      </c>
    </row>
    <row r="456" spans="1:15" x14ac:dyDescent="0.6">
      <c r="I456" s="2">
        <v>3</v>
      </c>
      <c r="J456">
        <v>3</v>
      </c>
      <c r="K456" t="s">
        <v>108</v>
      </c>
      <c r="L456" t="str">
        <f t="shared" si="7"/>
        <v>T</v>
      </c>
      <c r="M456" t="s">
        <v>3</v>
      </c>
      <c r="N456" t="s">
        <v>262</v>
      </c>
    </row>
    <row r="457" spans="1:15" x14ac:dyDescent="0.6">
      <c r="I457" s="2">
        <v>4</v>
      </c>
      <c r="J457">
        <v>4</v>
      </c>
      <c r="K457" t="s">
        <v>177</v>
      </c>
      <c r="L457" t="str">
        <f t="shared" si="7"/>
        <v>T</v>
      </c>
      <c r="M457" t="s">
        <v>3</v>
      </c>
      <c r="N457" t="s">
        <v>58</v>
      </c>
    </row>
    <row r="458" spans="1:15" x14ac:dyDescent="0.6">
      <c r="A458" t="s">
        <v>263</v>
      </c>
      <c r="B458" t="s">
        <v>23</v>
      </c>
      <c r="C458" t="s">
        <v>171</v>
      </c>
      <c r="D458" t="str">
        <f>IF(E458&gt;F458,"승",IF(E458&lt;F458,"패"))</f>
        <v>승</v>
      </c>
      <c r="E458">
        <f>COUNTIF(M458:M466,"승")</f>
        <v>5</v>
      </c>
      <c r="F458">
        <f>COUNTA(M458:M466)-E458</f>
        <v>4</v>
      </c>
      <c r="G458" s="1">
        <f>E458/(E458+F458)</f>
        <v>0.55555555555555558</v>
      </c>
      <c r="I458" s="2">
        <v>1</v>
      </c>
      <c r="J458" t="s">
        <v>559</v>
      </c>
      <c r="K458" t="s">
        <v>37</v>
      </c>
      <c r="L458" t="str">
        <f t="shared" si="7"/>
        <v>Z</v>
      </c>
      <c r="M458" t="s">
        <v>4</v>
      </c>
      <c r="N458" t="s">
        <v>40</v>
      </c>
      <c r="O458" t="s">
        <v>921</v>
      </c>
    </row>
    <row r="459" spans="1:15" x14ac:dyDescent="0.6">
      <c r="I459" s="2">
        <v>2</v>
      </c>
      <c r="J459">
        <v>2</v>
      </c>
      <c r="K459" t="s">
        <v>66</v>
      </c>
      <c r="L459" t="str">
        <f t="shared" si="7"/>
        <v>Z</v>
      </c>
      <c r="M459" t="s">
        <v>4</v>
      </c>
      <c r="N459" t="s">
        <v>264</v>
      </c>
      <c r="O459" t="s">
        <v>922</v>
      </c>
    </row>
    <row r="460" spans="1:15" x14ac:dyDescent="0.6">
      <c r="I460" s="2">
        <v>3</v>
      </c>
      <c r="J460">
        <v>3</v>
      </c>
      <c r="K460" t="s">
        <v>182</v>
      </c>
      <c r="L460" t="str">
        <f t="shared" si="7"/>
        <v>Z</v>
      </c>
      <c r="M460" t="s">
        <v>3</v>
      </c>
      <c r="N460" t="s">
        <v>206</v>
      </c>
      <c r="O460" t="s">
        <v>923</v>
      </c>
    </row>
    <row r="461" spans="1:15" x14ac:dyDescent="0.6">
      <c r="I461" s="2">
        <v>4</v>
      </c>
      <c r="J461">
        <v>4</v>
      </c>
      <c r="K461" t="s">
        <v>35</v>
      </c>
      <c r="L461" t="str">
        <f t="shared" si="7"/>
        <v>Z</v>
      </c>
      <c r="M461" t="s">
        <v>3</v>
      </c>
      <c r="N461" t="s">
        <v>265</v>
      </c>
      <c r="O461" t="s">
        <v>924</v>
      </c>
    </row>
    <row r="462" spans="1:15" x14ac:dyDescent="0.6">
      <c r="I462" s="2">
        <v>5</v>
      </c>
      <c r="J462">
        <v>5</v>
      </c>
      <c r="K462" t="s">
        <v>83</v>
      </c>
      <c r="L462" t="str">
        <f t="shared" si="7"/>
        <v>Z</v>
      </c>
      <c r="M462" t="s">
        <v>3</v>
      </c>
      <c r="N462" t="s">
        <v>162</v>
      </c>
      <c r="O462" t="s">
        <v>925</v>
      </c>
    </row>
    <row r="463" spans="1:15" x14ac:dyDescent="0.6">
      <c r="I463" s="2">
        <v>6</v>
      </c>
      <c r="J463">
        <v>6</v>
      </c>
      <c r="K463" t="s">
        <v>18</v>
      </c>
      <c r="L463" t="str">
        <f t="shared" si="7"/>
        <v>Z</v>
      </c>
      <c r="M463" t="s">
        <v>4</v>
      </c>
      <c r="N463" t="s">
        <v>58</v>
      </c>
      <c r="O463" t="s">
        <v>926</v>
      </c>
    </row>
    <row r="464" spans="1:15" x14ac:dyDescent="0.6">
      <c r="I464" s="2">
        <v>7</v>
      </c>
      <c r="J464">
        <v>7</v>
      </c>
      <c r="K464" t="s">
        <v>66</v>
      </c>
      <c r="L464" t="str">
        <f t="shared" si="7"/>
        <v>Z</v>
      </c>
      <c r="M464" t="s">
        <v>4</v>
      </c>
      <c r="N464" t="s">
        <v>264</v>
      </c>
      <c r="O464" t="s">
        <v>927</v>
      </c>
    </row>
    <row r="465" spans="1:15" x14ac:dyDescent="0.6">
      <c r="I465" s="2">
        <v>8</v>
      </c>
      <c r="J465">
        <v>8</v>
      </c>
      <c r="K465" t="s">
        <v>83</v>
      </c>
      <c r="L465" t="str">
        <f t="shared" si="7"/>
        <v>Z</v>
      </c>
      <c r="M465" t="s">
        <v>3</v>
      </c>
      <c r="N465" t="s">
        <v>162</v>
      </c>
      <c r="O465" t="s">
        <v>928</v>
      </c>
    </row>
    <row r="466" spans="1:15" x14ac:dyDescent="0.6">
      <c r="I466" s="2">
        <v>9</v>
      </c>
      <c r="J466" t="s">
        <v>562</v>
      </c>
      <c r="K466" t="s">
        <v>35</v>
      </c>
      <c r="L466" t="str">
        <f t="shared" si="7"/>
        <v>Z</v>
      </c>
      <c r="M466" t="s">
        <v>3</v>
      </c>
      <c r="N466" t="s">
        <v>265</v>
      </c>
      <c r="O466" t="s">
        <v>929</v>
      </c>
    </row>
    <row r="467" spans="1:15" x14ac:dyDescent="0.6">
      <c r="A467" t="s">
        <v>266</v>
      </c>
      <c r="B467" t="s">
        <v>23</v>
      </c>
      <c r="C467" t="s">
        <v>171</v>
      </c>
      <c r="D467" t="str">
        <f>IF(E467&gt;F467,"승",IF(E467&lt;F467,"패"))</f>
        <v>승</v>
      </c>
      <c r="E467">
        <f>COUNTIF(M467:M473,"승")</f>
        <v>5</v>
      </c>
      <c r="F467">
        <f>COUNTA(M467:M473)-E467</f>
        <v>2</v>
      </c>
      <c r="G467" s="1">
        <f>E467/(E467+F467)</f>
        <v>0.7142857142857143</v>
      </c>
      <c r="I467" s="2">
        <v>1</v>
      </c>
      <c r="J467" t="s">
        <v>559</v>
      </c>
      <c r="K467" t="s">
        <v>26</v>
      </c>
      <c r="L467" t="str">
        <f t="shared" si="7"/>
        <v>T</v>
      </c>
      <c r="M467" t="s">
        <v>3</v>
      </c>
      <c r="N467" t="s">
        <v>267</v>
      </c>
      <c r="O467" t="s">
        <v>930</v>
      </c>
    </row>
    <row r="468" spans="1:15" x14ac:dyDescent="0.6">
      <c r="I468" s="2">
        <v>2</v>
      </c>
      <c r="J468">
        <v>2</v>
      </c>
      <c r="K468" t="s">
        <v>37</v>
      </c>
      <c r="L468" t="str">
        <f t="shared" si="7"/>
        <v>Z</v>
      </c>
      <c r="M468" t="s">
        <v>4</v>
      </c>
      <c r="N468" t="s">
        <v>268</v>
      </c>
      <c r="O468" t="s">
        <v>931</v>
      </c>
    </row>
    <row r="469" spans="1:15" x14ac:dyDescent="0.6">
      <c r="I469" s="2">
        <v>3</v>
      </c>
      <c r="J469">
        <v>3</v>
      </c>
      <c r="K469" t="s">
        <v>145</v>
      </c>
      <c r="L469" t="str">
        <f t="shared" si="7"/>
        <v>P</v>
      </c>
      <c r="M469" t="s">
        <v>3</v>
      </c>
      <c r="N469" t="s">
        <v>269</v>
      </c>
      <c r="O469" t="s">
        <v>932</v>
      </c>
    </row>
    <row r="470" spans="1:15" x14ac:dyDescent="0.6">
      <c r="I470" s="2">
        <v>4</v>
      </c>
      <c r="J470">
        <v>4</v>
      </c>
      <c r="K470" t="s">
        <v>26</v>
      </c>
      <c r="L470" t="str">
        <f t="shared" si="7"/>
        <v>T</v>
      </c>
      <c r="M470" t="s">
        <v>3</v>
      </c>
      <c r="N470" t="s">
        <v>268</v>
      </c>
      <c r="O470" t="s">
        <v>933</v>
      </c>
    </row>
    <row r="471" spans="1:15" x14ac:dyDescent="0.6">
      <c r="I471" s="2">
        <v>5</v>
      </c>
      <c r="J471">
        <v>5</v>
      </c>
      <c r="K471" t="s">
        <v>37</v>
      </c>
      <c r="L471" t="str">
        <f t="shared" si="7"/>
        <v>Z</v>
      </c>
      <c r="M471" t="s">
        <v>3</v>
      </c>
      <c r="N471" t="s">
        <v>269</v>
      </c>
      <c r="O471" t="s">
        <v>934</v>
      </c>
    </row>
    <row r="472" spans="1:15" x14ac:dyDescent="0.6">
      <c r="I472" s="2">
        <v>6</v>
      </c>
      <c r="J472">
        <v>6</v>
      </c>
      <c r="K472" t="s">
        <v>145</v>
      </c>
      <c r="L472" t="str">
        <f t="shared" si="7"/>
        <v>P</v>
      </c>
      <c r="M472" t="s">
        <v>4</v>
      </c>
      <c r="N472" t="s">
        <v>267</v>
      </c>
      <c r="O472" t="s">
        <v>935</v>
      </c>
    </row>
    <row r="473" spans="1:15" x14ac:dyDescent="0.6">
      <c r="I473" s="2">
        <v>7</v>
      </c>
      <c r="J473">
        <v>7</v>
      </c>
      <c r="K473" t="s">
        <v>145</v>
      </c>
      <c r="L473" t="str">
        <f t="shared" si="7"/>
        <v>P</v>
      </c>
      <c r="M473" t="s">
        <v>3</v>
      </c>
      <c r="N473" t="s">
        <v>268</v>
      </c>
      <c r="O473" t="s">
        <v>936</v>
      </c>
    </row>
    <row r="474" spans="1:15" x14ac:dyDescent="0.6">
      <c r="A474" t="s">
        <v>270</v>
      </c>
      <c r="B474" t="s">
        <v>93</v>
      </c>
      <c r="C474" t="s">
        <v>171</v>
      </c>
      <c r="D474" t="str">
        <f>IF(E474&gt;F474,"승",IF(E474&lt;F474,"패"))</f>
        <v>패</v>
      </c>
      <c r="E474">
        <f>COUNTIF(M474:M481,"승")</f>
        <v>3</v>
      </c>
      <c r="F474">
        <f>COUNTA(M474:M481)-E474</f>
        <v>5</v>
      </c>
      <c r="G474" s="1">
        <f>E474/(E474+F474)</f>
        <v>0.375</v>
      </c>
      <c r="I474" s="2">
        <v>1</v>
      </c>
      <c r="J474" t="s">
        <v>559</v>
      </c>
      <c r="K474" t="s">
        <v>35</v>
      </c>
      <c r="L474" t="str">
        <f t="shared" si="7"/>
        <v>Z</v>
      </c>
      <c r="M474" t="s">
        <v>4</v>
      </c>
      <c r="N474" t="s">
        <v>258</v>
      </c>
      <c r="O474" t="s">
        <v>937</v>
      </c>
    </row>
    <row r="475" spans="1:15" x14ac:dyDescent="0.6">
      <c r="I475" s="2">
        <v>2</v>
      </c>
      <c r="J475">
        <v>2</v>
      </c>
      <c r="K475" t="s">
        <v>145</v>
      </c>
      <c r="L475" t="str">
        <f t="shared" si="7"/>
        <v>P</v>
      </c>
      <c r="M475" t="s">
        <v>3</v>
      </c>
      <c r="N475" t="s">
        <v>271</v>
      </c>
      <c r="O475" t="s">
        <v>938</v>
      </c>
    </row>
    <row r="476" spans="1:15" x14ac:dyDescent="0.6">
      <c r="I476" s="2">
        <v>3</v>
      </c>
      <c r="J476">
        <v>3</v>
      </c>
      <c r="K476" t="s">
        <v>108</v>
      </c>
      <c r="L476" t="str">
        <f t="shared" si="7"/>
        <v>T</v>
      </c>
      <c r="M476" t="s">
        <v>4</v>
      </c>
      <c r="N476" t="s">
        <v>127</v>
      </c>
      <c r="O476" t="s">
        <v>939</v>
      </c>
    </row>
    <row r="477" spans="1:15" x14ac:dyDescent="0.6">
      <c r="I477" s="2">
        <v>4</v>
      </c>
      <c r="J477">
        <v>4</v>
      </c>
      <c r="K477" t="s">
        <v>26</v>
      </c>
      <c r="L477" t="str">
        <f t="shared" si="7"/>
        <v>T</v>
      </c>
      <c r="M477" t="s">
        <v>4</v>
      </c>
      <c r="N477" t="s">
        <v>272</v>
      </c>
      <c r="O477" t="s">
        <v>940</v>
      </c>
    </row>
    <row r="478" spans="1:15" x14ac:dyDescent="0.6">
      <c r="I478" s="2">
        <v>5</v>
      </c>
      <c r="J478">
        <v>5</v>
      </c>
      <c r="K478" t="s">
        <v>37</v>
      </c>
      <c r="L478" t="str">
        <f t="shared" si="7"/>
        <v>Z</v>
      </c>
      <c r="M478" t="s">
        <v>4</v>
      </c>
      <c r="N478" t="s">
        <v>273</v>
      </c>
      <c r="O478" t="s">
        <v>941</v>
      </c>
    </row>
    <row r="479" spans="1:15" x14ac:dyDescent="0.6">
      <c r="I479" s="2">
        <v>6</v>
      </c>
      <c r="J479">
        <v>6</v>
      </c>
      <c r="K479" t="s">
        <v>216</v>
      </c>
      <c r="L479" t="str">
        <f t="shared" si="7"/>
        <v>P</v>
      </c>
      <c r="M479" t="s">
        <v>3</v>
      </c>
      <c r="N479" t="s">
        <v>274</v>
      </c>
      <c r="O479" t="s">
        <v>942</v>
      </c>
    </row>
    <row r="480" spans="1:15" x14ac:dyDescent="0.6">
      <c r="I480" s="2">
        <v>7</v>
      </c>
      <c r="J480">
        <v>7</v>
      </c>
      <c r="K480" t="s">
        <v>83</v>
      </c>
      <c r="L480" t="str">
        <f t="shared" si="7"/>
        <v>Z</v>
      </c>
      <c r="M480" t="s">
        <v>3</v>
      </c>
      <c r="N480" t="s">
        <v>275</v>
      </c>
      <c r="O480" t="s">
        <v>943</v>
      </c>
    </row>
    <row r="481" spans="1:15" x14ac:dyDescent="0.6">
      <c r="I481" s="2">
        <v>8</v>
      </c>
      <c r="J481">
        <v>8</v>
      </c>
      <c r="K481" t="s">
        <v>26</v>
      </c>
      <c r="L481" t="str">
        <f t="shared" si="7"/>
        <v>T</v>
      </c>
      <c r="M481" t="s">
        <v>4</v>
      </c>
      <c r="N481" t="s">
        <v>272</v>
      </c>
      <c r="O481" t="s">
        <v>944</v>
      </c>
    </row>
    <row r="482" spans="1:15" x14ac:dyDescent="0.6">
      <c r="A482" t="s">
        <v>279</v>
      </c>
      <c r="B482" t="s">
        <v>131</v>
      </c>
      <c r="C482" t="s">
        <v>55</v>
      </c>
      <c r="D482" t="str">
        <f>IF(E482&gt;F482,"승",IF(E482&lt;F482,"패"))</f>
        <v>패</v>
      </c>
      <c r="E482">
        <f>COUNTIF(M482:M489,"승")</f>
        <v>3</v>
      </c>
      <c r="F482">
        <f>COUNTA(M482:M489)-E482</f>
        <v>5</v>
      </c>
      <c r="G482" s="1">
        <f>E482/(E482+F482)</f>
        <v>0.375</v>
      </c>
      <c r="H482" t="s">
        <v>276</v>
      </c>
      <c r="I482" s="2">
        <v>1</v>
      </c>
      <c r="J482" t="s">
        <v>559</v>
      </c>
      <c r="K482" t="s">
        <v>18</v>
      </c>
      <c r="L482" t="str">
        <f t="shared" si="7"/>
        <v>Z</v>
      </c>
      <c r="M482" t="s">
        <v>3</v>
      </c>
      <c r="N482" t="s">
        <v>277</v>
      </c>
      <c r="O482" t="s">
        <v>945</v>
      </c>
    </row>
    <row r="483" spans="1:15" x14ac:dyDescent="0.6">
      <c r="I483" s="2">
        <v>2</v>
      </c>
      <c r="J483">
        <v>2</v>
      </c>
      <c r="K483" t="s">
        <v>133</v>
      </c>
      <c r="L483" t="str">
        <f t="shared" si="7"/>
        <v>P</v>
      </c>
      <c r="M483" t="s">
        <v>4</v>
      </c>
      <c r="N483" t="s">
        <v>135</v>
      </c>
      <c r="O483" t="s">
        <v>946</v>
      </c>
    </row>
    <row r="484" spans="1:15" x14ac:dyDescent="0.6">
      <c r="I484" s="2">
        <v>3</v>
      </c>
      <c r="J484">
        <v>3</v>
      </c>
      <c r="K484" t="s">
        <v>208</v>
      </c>
      <c r="L484" t="str">
        <f t="shared" si="7"/>
        <v>P</v>
      </c>
      <c r="M484" t="s">
        <v>4</v>
      </c>
      <c r="N484" t="s">
        <v>154</v>
      </c>
      <c r="O484" t="s">
        <v>947</v>
      </c>
    </row>
    <row r="485" spans="1:15" x14ac:dyDescent="0.6">
      <c r="I485" s="2">
        <v>4</v>
      </c>
      <c r="J485">
        <v>4</v>
      </c>
      <c r="K485" t="s">
        <v>57</v>
      </c>
      <c r="L485" t="str">
        <f t="shared" si="7"/>
        <v>P</v>
      </c>
      <c r="M485" t="s">
        <v>3</v>
      </c>
      <c r="N485" t="s">
        <v>222</v>
      </c>
      <c r="O485" t="s">
        <v>948</v>
      </c>
    </row>
    <row r="486" spans="1:15" x14ac:dyDescent="0.6">
      <c r="I486" s="2">
        <v>5</v>
      </c>
      <c r="J486">
        <v>5</v>
      </c>
      <c r="K486" t="s">
        <v>8</v>
      </c>
      <c r="L486" t="str">
        <f t="shared" si="7"/>
        <v>P</v>
      </c>
      <c r="M486" t="s">
        <v>3</v>
      </c>
      <c r="N486" t="s">
        <v>206</v>
      </c>
      <c r="O486" t="s">
        <v>949</v>
      </c>
    </row>
    <row r="487" spans="1:15" x14ac:dyDescent="0.6">
      <c r="I487" s="2">
        <v>6</v>
      </c>
      <c r="J487">
        <v>6</v>
      </c>
      <c r="K487" t="s">
        <v>176</v>
      </c>
      <c r="L487" t="str">
        <f t="shared" si="7"/>
        <v>Z</v>
      </c>
      <c r="M487" t="s">
        <v>4</v>
      </c>
      <c r="N487" t="s">
        <v>209</v>
      </c>
      <c r="O487" t="s">
        <v>951</v>
      </c>
    </row>
    <row r="488" spans="1:15" x14ac:dyDescent="0.6">
      <c r="I488" s="2">
        <v>7</v>
      </c>
      <c r="J488">
        <v>7</v>
      </c>
      <c r="K488" t="s">
        <v>278</v>
      </c>
      <c r="L488" t="str">
        <f t="shared" si="7"/>
        <v>Z</v>
      </c>
      <c r="M488" t="s">
        <v>4</v>
      </c>
      <c r="N488" t="s">
        <v>29</v>
      </c>
      <c r="O488" t="s">
        <v>950</v>
      </c>
    </row>
    <row r="489" spans="1:15" x14ac:dyDescent="0.6">
      <c r="I489" s="2">
        <v>8</v>
      </c>
      <c r="J489">
        <v>8</v>
      </c>
      <c r="K489" t="s">
        <v>66</v>
      </c>
      <c r="L489" t="str">
        <f t="shared" si="7"/>
        <v>Z</v>
      </c>
      <c r="M489" t="s">
        <v>4</v>
      </c>
      <c r="N489" t="s">
        <v>16</v>
      </c>
      <c r="O489" t="s">
        <v>952</v>
      </c>
    </row>
    <row r="490" spans="1:15" x14ac:dyDescent="0.6">
      <c r="A490" t="s">
        <v>280</v>
      </c>
      <c r="B490" t="s">
        <v>187</v>
      </c>
      <c r="C490" t="s">
        <v>55</v>
      </c>
      <c r="D490" t="str">
        <f>IF(E490&gt;F490,"승",IF(E490&lt;F490,"패"))</f>
        <v>승</v>
      </c>
      <c r="E490">
        <f>COUNTIF(M490:M496,"승")</f>
        <v>5</v>
      </c>
      <c r="F490">
        <f>COUNTA(M490:M496)-E490</f>
        <v>2</v>
      </c>
      <c r="G490" s="1">
        <f>E490/(E490+F490)</f>
        <v>0.7142857142857143</v>
      </c>
      <c r="H490" t="s">
        <v>276</v>
      </c>
      <c r="I490" s="2">
        <v>1</v>
      </c>
      <c r="J490" t="s">
        <v>559</v>
      </c>
      <c r="K490" t="s">
        <v>208</v>
      </c>
      <c r="L490" t="str">
        <f t="shared" si="7"/>
        <v>P</v>
      </c>
      <c r="M490" t="s">
        <v>3</v>
      </c>
      <c r="N490" t="s">
        <v>188</v>
      </c>
      <c r="O490" t="s">
        <v>953</v>
      </c>
    </row>
    <row r="491" spans="1:15" x14ac:dyDescent="0.6">
      <c r="I491" s="2">
        <v>2</v>
      </c>
      <c r="J491">
        <v>2</v>
      </c>
      <c r="K491" t="s">
        <v>8</v>
      </c>
      <c r="L491" t="str">
        <f t="shared" si="7"/>
        <v>P</v>
      </c>
      <c r="M491" t="s">
        <v>3</v>
      </c>
      <c r="N491" t="s">
        <v>259</v>
      </c>
      <c r="O491" t="s">
        <v>954</v>
      </c>
    </row>
    <row r="492" spans="1:15" x14ac:dyDescent="0.6">
      <c r="I492" s="2">
        <v>3</v>
      </c>
      <c r="J492">
        <v>3</v>
      </c>
      <c r="K492" t="s">
        <v>281</v>
      </c>
      <c r="L492" t="str">
        <f t="shared" si="7"/>
        <v>P</v>
      </c>
      <c r="M492" t="s">
        <v>3</v>
      </c>
      <c r="N492" t="s">
        <v>39</v>
      </c>
      <c r="O492" t="s">
        <v>955</v>
      </c>
    </row>
    <row r="493" spans="1:15" x14ac:dyDescent="0.6">
      <c r="I493" s="2">
        <v>4</v>
      </c>
      <c r="J493">
        <v>4</v>
      </c>
      <c r="K493" t="s">
        <v>66</v>
      </c>
      <c r="L493" t="str">
        <f t="shared" si="7"/>
        <v>Z</v>
      </c>
      <c r="M493" t="s">
        <v>3</v>
      </c>
      <c r="N493" t="s">
        <v>67</v>
      </c>
      <c r="O493" t="s">
        <v>956</v>
      </c>
    </row>
    <row r="494" spans="1:15" x14ac:dyDescent="0.6">
      <c r="I494" s="2">
        <v>5</v>
      </c>
      <c r="J494">
        <v>5</v>
      </c>
      <c r="K494" t="s">
        <v>216</v>
      </c>
      <c r="L494" t="str">
        <f t="shared" si="7"/>
        <v>P</v>
      </c>
      <c r="M494" t="s">
        <v>4</v>
      </c>
      <c r="N494" t="s">
        <v>128</v>
      </c>
      <c r="O494" t="s">
        <v>957</v>
      </c>
    </row>
    <row r="495" spans="1:15" x14ac:dyDescent="0.6">
      <c r="I495" s="2">
        <v>6</v>
      </c>
      <c r="J495">
        <v>6</v>
      </c>
      <c r="K495" t="s">
        <v>176</v>
      </c>
      <c r="L495" t="str">
        <f t="shared" si="7"/>
        <v>Z</v>
      </c>
      <c r="M495" t="s">
        <v>4</v>
      </c>
      <c r="N495" t="s">
        <v>25</v>
      </c>
      <c r="O495" t="s">
        <v>958</v>
      </c>
    </row>
    <row r="496" spans="1:15" x14ac:dyDescent="0.6">
      <c r="I496" s="2">
        <v>7</v>
      </c>
      <c r="J496">
        <v>7</v>
      </c>
      <c r="K496" t="s">
        <v>57</v>
      </c>
      <c r="L496" t="str">
        <f t="shared" si="7"/>
        <v>P</v>
      </c>
      <c r="M496" t="s">
        <v>3</v>
      </c>
      <c r="N496" t="s">
        <v>282</v>
      </c>
      <c r="O496" t="s">
        <v>959</v>
      </c>
    </row>
    <row r="497" spans="1:15" x14ac:dyDescent="0.6">
      <c r="A497" t="s">
        <v>960</v>
      </c>
      <c r="B497" t="s">
        <v>23</v>
      </c>
      <c r="C497" t="s">
        <v>171</v>
      </c>
      <c r="D497" t="str">
        <f>IF(E497&gt;F497,"승",IF(E497&lt;F497,"패"))</f>
        <v>승</v>
      </c>
      <c r="E497">
        <f>COUNTIF(M497:M507,"승")</f>
        <v>6</v>
      </c>
      <c r="F497">
        <f>COUNTA(M497:M507)-E497</f>
        <v>5</v>
      </c>
      <c r="G497" s="1">
        <f>E497/(E497+F497)</f>
        <v>0.54545454545454541</v>
      </c>
      <c r="I497" s="2">
        <v>1</v>
      </c>
      <c r="J497" t="s">
        <v>559</v>
      </c>
      <c r="K497" t="s">
        <v>278</v>
      </c>
      <c r="L497" t="str">
        <f t="shared" si="7"/>
        <v>Z</v>
      </c>
      <c r="M497" t="s">
        <v>4</v>
      </c>
      <c r="N497" t="s">
        <v>229</v>
      </c>
      <c r="O497" t="s">
        <v>961</v>
      </c>
    </row>
    <row r="498" spans="1:15" x14ac:dyDescent="0.6">
      <c r="I498" s="2">
        <v>2</v>
      </c>
      <c r="J498">
        <v>2</v>
      </c>
      <c r="K498" t="s">
        <v>18</v>
      </c>
      <c r="L498" t="str">
        <f t="shared" si="7"/>
        <v>Z</v>
      </c>
      <c r="M498" t="s">
        <v>4</v>
      </c>
      <c r="N498" t="s">
        <v>58</v>
      </c>
      <c r="O498" t="s">
        <v>962</v>
      </c>
    </row>
    <row r="499" spans="1:15" x14ac:dyDescent="0.6">
      <c r="I499" s="2">
        <v>3</v>
      </c>
      <c r="J499">
        <v>3</v>
      </c>
      <c r="K499" t="s">
        <v>208</v>
      </c>
      <c r="L499" t="str">
        <f t="shared" si="7"/>
        <v>P</v>
      </c>
      <c r="M499" t="s">
        <v>3</v>
      </c>
      <c r="N499" t="s">
        <v>201</v>
      </c>
      <c r="O499" t="s">
        <v>963</v>
      </c>
    </row>
    <row r="500" spans="1:15" x14ac:dyDescent="0.6">
      <c r="I500" s="2">
        <v>4</v>
      </c>
      <c r="J500">
        <v>4</v>
      </c>
      <c r="K500" t="s">
        <v>8</v>
      </c>
      <c r="L500" t="str">
        <f t="shared" si="7"/>
        <v>P</v>
      </c>
      <c r="M500" t="s">
        <v>3</v>
      </c>
      <c r="N500" t="s">
        <v>143</v>
      </c>
      <c r="O500" t="s">
        <v>964</v>
      </c>
    </row>
    <row r="501" spans="1:15" x14ac:dyDescent="0.6">
      <c r="I501" s="2">
        <v>5</v>
      </c>
      <c r="J501">
        <v>5</v>
      </c>
      <c r="K501" t="s">
        <v>177</v>
      </c>
      <c r="L501" t="str">
        <f t="shared" si="7"/>
        <v>T</v>
      </c>
      <c r="M501" t="s">
        <v>3</v>
      </c>
      <c r="N501" t="s">
        <v>77</v>
      </c>
      <c r="O501" t="s">
        <v>965</v>
      </c>
    </row>
    <row r="502" spans="1:15" x14ac:dyDescent="0.6">
      <c r="I502" s="2">
        <v>6</v>
      </c>
      <c r="J502">
        <v>6</v>
      </c>
      <c r="K502" t="s">
        <v>66</v>
      </c>
      <c r="L502" t="str">
        <f t="shared" si="7"/>
        <v>Z</v>
      </c>
      <c r="M502" t="s">
        <v>3</v>
      </c>
      <c r="N502" t="s">
        <v>189</v>
      </c>
      <c r="O502" t="s">
        <v>966</v>
      </c>
    </row>
    <row r="503" spans="1:15" x14ac:dyDescent="0.6">
      <c r="I503" s="2">
        <v>7</v>
      </c>
      <c r="J503">
        <v>7</v>
      </c>
      <c r="K503" t="s">
        <v>57</v>
      </c>
      <c r="L503" t="str">
        <f t="shared" si="7"/>
        <v>P</v>
      </c>
      <c r="M503" t="s">
        <v>4</v>
      </c>
      <c r="N503" t="s">
        <v>284</v>
      </c>
      <c r="O503" t="s">
        <v>967</v>
      </c>
    </row>
    <row r="504" spans="1:15" x14ac:dyDescent="0.6">
      <c r="I504" s="2">
        <v>8</v>
      </c>
      <c r="J504">
        <v>8</v>
      </c>
      <c r="K504" t="s">
        <v>281</v>
      </c>
      <c r="L504" t="str">
        <f t="shared" si="7"/>
        <v>P</v>
      </c>
      <c r="M504" t="s">
        <v>3</v>
      </c>
      <c r="N504" t="s">
        <v>285</v>
      </c>
      <c r="O504" t="s">
        <v>968</v>
      </c>
    </row>
    <row r="505" spans="1:15" x14ac:dyDescent="0.6">
      <c r="I505" s="2">
        <v>9</v>
      </c>
      <c r="J505" s="2">
        <v>9</v>
      </c>
      <c r="K505" t="s">
        <v>283</v>
      </c>
      <c r="L505" t="str">
        <f t="shared" si="7"/>
        <v>Z</v>
      </c>
      <c r="M505" t="s">
        <v>4</v>
      </c>
      <c r="N505" t="s">
        <v>286</v>
      </c>
      <c r="O505" t="s">
        <v>969</v>
      </c>
    </row>
    <row r="506" spans="1:15" x14ac:dyDescent="0.6">
      <c r="I506" s="2">
        <v>10</v>
      </c>
      <c r="J506" s="2">
        <v>10</v>
      </c>
      <c r="K506" t="s">
        <v>133</v>
      </c>
      <c r="L506" t="str">
        <f t="shared" si="7"/>
        <v>P</v>
      </c>
      <c r="M506" t="s">
        <v>4</v>
      </c>
      <c r="N506" t="s">
        <v>77</v>
      </c>
      <c r="O506" t="s">
        <v>970</v>
      </c>
    </row>
    <row r="507" spans="1:15" x14ac:dyDescent="0.6">
      <c r="I507" s="2">
        <v>11</v>
      </c>
      <c r="J507" s="2">
        <v>11</v>
      </c>
      <c r="K507" t="s">
        <v>176</v>
      </c>
      <c r="L507" t="str">
        <f t="shared" si="7"/>
        <v>Z</v>
      </c>
      <c r="M507" t="s">
        <v>3</v>
      </c>
      <c r="N507" t="s">
        <v>143</v>
      </c>
      <c r="O507" t="s">
        <v>971</v>
      </c>
    </row>
    <row r="508" spans="1:15" x14ac:dyDescent="0.6">
      <c r="A508" t="s">
        <v>287</v>
      </c>
      <c r="B508" t="s">
        <v>23</v>
      </c>
      <c r="C508" t="s">
        <v>171</v>
      </c>
      <c r="D508" t="str">
        <f>IF(E508&gt;F508,"승",IF(E508&lt;F508,"패"))</f>
        <v>패</v>
      </c>
      <c r="E508">
        <f>COUNTIF(M508:M517,"승")</f>
        <v>2</v>
      </c>
      <c r="F508">
        <f>COUNTA(M508:M517)-E508</f>
        <v>8</v>
      </c>
      <c r="G508" s="1">
        <f>E508/(E508+F508)</f>
        <v>0.2</v>
      </c>
      <c r="I508" s="2">
        <v>1</v>
      </c>
      <c r="J508" t="s">
        <v>559</v>
      </c>
      <c r="K508" t="s">
        <v>57</v>
      </c>
      <c r="L508" t="str">
        <f t="shared" si="7"/>
        <v>P</v>
      </c>
      <c r="M508" t="s">
        <v>4</v>
      </c>
      <c r="N508" t="s">
        <v>39</v>
      </c>
      <c r="O508" t="s">
        <v>972</v>
      </c>
    </row>
    <row r="509" spans="1:15" x14ac:dyDescent="0.6">
      <c r="I509" s="2">
        <v>2</v>
      </c>
      <c r="J509">
        <v>2</v>
      </c>
      <c r="K509" t="s">
        <v>281</v>
      </c>
      <c r="L509" t="str">
        <f t="shared" si="7"/>
        <v>P</v>
      </c>
      <c r="M509" t="s">
        <v>4</v>
      </c>
      <c r="N509" t="s">
        <v>39</v>
      </c>
      <c r="O509" t="s">
        <v>973</v>
      </c>
    </row>
    <row r="510" spans="1:15" x14ac:dyDescent="0.6">
      <c r="I510" s="2">
        <v>3</v>
      </c>
      <c r="J510">
        <v>3</v>
      </c>
      <c r="K510" t="s">
        <v>281</v>
      </c>
      <c r="L510" t="str">
        <f t="shared" si="7"/>
        <v>P</v>
      </c>
      <c r="M510" t="s">
        <v>4</v>
      </c>
      <c r="N510" t="s">
        <v>212</v>
      </c>
      <c r="O510" t="s">
        <v>974</v>
      </c>
    </row>
    <row r="511" spans="1:15" x14ac:dyDescent="0.6">
      <c r="I511" s="2">
        <v>4</v>
      </c>
      <c r="J511">
        <v>4</v>
      </c>
      <c r="K511" t="s">
        <v>57</v>
      </c>
      <c r="L511" t="str">
        <f t="shared" si="7"/>
        <v>P</v>
      </c>
      <c r="M511" t="s">
        <v>4</v>
      </c>
      <c r="N511" t="s">
        <v>212</v>
      </c>
      <c r="O511" t="s">
        <v>975</v>
      </c>
    </row>
    <row r="512" spans="1:15" x14ac:dyDescent="0.6">
      <c r="I512" s="2">
        <v>5</v>
      </c>
      <c r="J512">
        <v>5</v>
      </c>
      <c r="K512" t="s">
        <v>57</v>
      </c>
      <c r="L512" t="str">
        <f t="shared" si="7"/>
        <v>P</v>
      </c>
      <c r="M512" t="s">
        <v>4</v>
      </c>
      <c r="N512" t="s">
        <v>98</v>
      </c>
      <c r="O512" t="s">
        <v>976</v>
      </c>
    </row>
    <row r="513" spans="1:15" x14ac:dyDescent="0.6">
      <c r="I513" s="2">
        <v>6</v>
      </c>
      <c r="J513">
        <v>6</v>
      </c>
      <c r="K513" t="s">
        <v>281</v>
      </c>
      <c r="L513" t="str">
        <f t="shared" si="7"/>
        <v>P</v>
      </c>
      <c r="M513" t="s">
        <v>4</v>
      </c>
      <c r="N513" t="s">
        <v>98</v>
      </c>
      <c r="O513" t="s">
        <v>977</v>
      </c>
    </row>
    <row r="514" spans="1:15" x14ac:dyDescent="0.6">
      <c r="I514" s="2">
        <v>7</v>
      </c>
      <c r="J514">
        <v>7</v>
      </c>
      <c r="K514" t="s">
        <v>281</v>
      </c>
      <c r="L514" t="str">
        <f t="shared" si="7"/>
        <v>P</v>
      </c>
      <c r="M514" t="s">
        <v>4</v>
      </c>
      <c r="N514" t="s">
        <v>285</v>
      </c>
      <c r="O514" t="s">
        <v>978</v>
      </c>
    </row>
    <row r="515" spans="1:15" x14ac:dyDescent="0.6">
      <c r="I515" s="2">
        <v>8</v>
      </c>
      <c r="J515">
        <v>8</v>
      </c>
      <c r="K515" t="s">
        <v>57</v>
      </c>
      <c r="L515" t="str">
        <f t="shared" si="7"/>
        <v>P</v>
      </c>
      <c r="M515" t="s">
        <v>4</v>
      </c>
      <c r="N515" t="s">
        <v>285</v>
      </c>
      <c r="O515" t="s">
        <v>979</v>
      </c>
    </row>
    <row r="516" spans="1:15" x14ac:dyDescent="0.6">
      <c r="I516" s="2">
        <v>9</v>
      </c>
      <c r="J516" t="s">
        <v>562</v>
      </c>
      <c r="K516" t="s">
        <v>57</v>
      </c>
      <c r="L516" t="str">
        <f t="shared" ref="L516:L579" si="8">INDEX($R$2:$R$99,MATCH(K516,$Q$2:$Q$99,0))</f>
        <v>P</v>
      </c>
      <c r="M516" t="s">
        <v>3</v>
      </c>
      <c r="N516" t="s">
        <v>282</v>
      </c>
      <c r="O516" t="s">
        <v>980</v>
      </c>
    </row>
    <row r="517" spans="1:15" x14ac:dyDescent="0.6">
      <c r="I517" s="2">
        <v>10</v>
      </c>
      <c r="J517" t="s">
        <v>560</v>
      </c>
      <c r="K517" t="s">
        <v>281</v>
      </c>
      <c r="L517" t="str">
        <f t="shared" si="8"/>
        <v>P</v>
      </c>
      <c r="M517" t="s">
        <v>3</v>
      </c>
      <c r="N517" t="s">
        <v>282</v>
      </c>
      <c r="O517" t="s">
        <v>981</v>
      </c>
    </row>
    <row r="518" spans="1:15" x14ac:dyDescent="0.6">
      <c r="A518" t="s">
        <v>288</v>
      </c>
      <c r="B518" t="s">
        <v>110</v>
      </c>
      <c r="C518" t="s">
        <v>94</v>
      </c>
      <c r="D518" t="str">
        <f>IF(E518&gt;F518,"승",IF(E518&lt;F518,"패"))</f>
        <v>승</v>
      </c>
      <c r="E518">
        <f>COUNTIF(M518:M523,"승")</f>
        <v>4</v>
      </c>
      <c r="F518">
        <f>COUNTA(M518:M523)-E518</f>
        <v>2</v>
      </c>
      <c r="G518" s="1">
        <f>E518/(E518+F518)</f>
        <v>0.66666666666666663</v>
      </c>
      <c r="I518" s="2">
        <v>1</v>
      </c>
      <c r="J518" t="s">
        <v>559</v>
      </c>
      <c r="K518" t="s">
        <v>133</v>
      </c>
      <c r="L518" t="str">
        <f t="shared" si="8"/>
        <v>P</v>
      </c>
      <c r="M518" t="s">
        <v>3</v>
      </c>
      <c r="N518" t="s">
        <v>289</v>
      </c>
      <c r="O518" t="s">
        <v>982</v>
      </c>
    </row>
    <row r="519" spans="1:15" x14ac:dyDescent="0.6">
      <c r="I519" s="2">
        <v>2</v>
      </c>
      <c r="J519">
        <v>2</v>
      </c>
      <c r="K519" t="s">
        <v>177</v>
      </c>
      <c r="L519" t="str">
        <f t="shared" si="8"/>
        <v>T</v>
      </c>
      <c r="M519" t="s">
        <v>4</v>
      </c>
      <c r="N519" t="s">
        <v>44</v>
      </c>
      <c r="O519" t="s">
        <v>983</v>
      </c>
    </row>
    <row r="520" spans="1:15" x14ac:dyDescent="0.6">
      <c r="I520" s="2">
        <v>3</v>
      </c>
      <c r="J520">
        <v>3</v>
      </c>
      <c r="K520" t="s">
        <v>133</v>
      </c>
      <c r="L520" t="str">
        <f t="shared" si="8"/>
        <v>P</v>
      </c>
      <c r="M520" t="s">
        <v>4</v>
      </c>
      <c r="N520" t="s">
        <v>90</v>
      </c>
      <c r="O520" t="s">
        <v>984</v>
      </c>
    </row>
    <row r="521" spans="1:15" x14ac:dyDescent="0.6">
      <c r="I521" s="2">
        <v>4</v>
      </c>
      <c r="J521">
        <v>4</v>
      </c>
      <c r="K521" t="s">
        <v>177</v>
      </c>
      <c r="L521" t="str">
        <f t="shared" si="8"/>
        <v>T</v>
      </c>
      <c r="M521" t="s">
        <v>3</v>
      </c>
      <c r="N521" t="s">
        <v>289</v>
      </c>
      <c r="O521" t="s">
        <v>985</v>
      </c>
    </row>
    <row r="522" spans="1:15" x14ac:dyDescent="0.6">
      <c r="I522" s="2">
        <v>5</v>
      </c>
      <c r="J522">
        <v>5</v>
      </c>
      <c r="K522" t="s">
        <v>133</v>
      </c>
      <c r="L522" t="str">
        <f t="shared" si="8"/>
        <v>P</v>
      </c>
      <c r="M522" t="s">
        <v>3</v>
      </c>
      <c r="N522" t="s">
        <v>44</v>
      </c>
      <c r="O522" t="s">
        <v>986</v>
      </c>
    </row>
    <row r="523" spans="1:15" x14ac:dyDescent="0.6">
      <c r="I523" s="2">
        <v>6</v>
      </c>
      <c r="J523">
        <v>6</v>
      </c>
      <c r="K523" t="s">
        <v>177</v>
      </c>
      <c r="L523" t="str">
        <f t="shared" si="8"/>
        <v>T</v>
      </c>
      <c r="M523" t="s">
        <v>3</v>
      </c>
      <c r="N523" t="s">
        <v>90</v>
      </c>
      <c r="O523" t="s">
        <v>987</v>
      </c>
    </row>
    <row r="524" spans="1:15" x14ac:dyDescent="0.6">
      <c r="A524" t="s">
        <v>290</v>
      </c>
      <c r="B524" t="s">
        <v>174</v>
      </c>
      <c r="C524" t="s">
        <v>55</v>
      </c>
      <c r="D524" t="str">
        <f>IF(E524&gt;F524,"승",IF(E524&lt;F524,"패"))</f>
        <v>승</v>
      </c>
      <c r="E524">
        <f>COUNTIF(M524:M529,"승")</f>
        <v>4</v>
      </c>
      <c r="F524">
        <f>COUNTA(M524:M529)-E524</f>
        <v>2</v>
      </c>
      <c r="G524" s="1">
        <f>E524/(E524+F524)</f>
        <v>0.66666666666666663</v>
      </c>
      <c r="H524" t="s">
        <v>276</v>
      </c>
      <c r="I524" s="2">
        <v>1</v>
      </c>
      <c r="J524" t="s">
        <v>559</v>
      </c>
      <c r="K524" t="s">
        <v>283</v>
      </c>
      <c r="L524" t="str">
        <f t="shared" si="8"/>
        <v>Z</v>
      </c>
      <c r="M524" t="s">
        <v>4</v>
      </c>
      <c r="N524" t="s">
        <v>286</v>
      </c>
      <c r="O524" t="s">
        <v>988</v>
      </c>
    </row>
    <row r="525" spans="1:15" x14ac:dyDescent="0.6">
      <c r="I525" s="2">
        <v>2</v>
      </c>
      <c r="J525">
        <v>2</v>
      </c>
      <c r="K525" t="s">
        <v>18</v>
      </c>
      <c r="L525" t="str">
        <f t="shared" si="8"/>
        <v>Z</v>
      </c>
      <c r="M525" t="s">
        <v>3</v>
      </c>
      <c r="N525" t="s">
        <v>291</v>
      </c>
      <c r="O525" t="s">
        <v>989</v>
      </c>
    </row>
    <row r="526" spans="1:15" x14ac:dyDescent="0.6">
      <c r="I526" s="2">
        <v>3</v>
      </c>
      <c r="J526">
        <v>3</v>
      </c>
      <c r="K526" t="s">
        <v>66</v>
      </c>
      <c r="L526" t="str">
        <f t="shared" si="8"/>
        <v>Z</v>
      </c>
      <c r="M526" t="s">
        <v>3</v>
      </c>
      <c r="N526" t="s">
        <v>179</v>
      </c>
      <c r="O526" t="s">
        <v>990</v>
      </c>
    </row>
    <row r="527" spans="1:15" x14ac:dyDescent="0.6">
      <c r="I527" s="2">
        <v>4</v>
      </c>
      <c r="J527">
        <v>4</v>
      </c>
      <c r="K527" t="s">
        <v>8</v>
      </c>
      <c r="L527" t="str">
        <f t="shared" si="8"/>
        <v>P</v>
      </c>
      <c r="M527" t="s">
        <v>4</v>
      </c>
      <c r="N527" t="s">
        <v>237</v>
      </c>
      <c r="O527" t="s">
        <v>991</v>
      </c>
    </row>
    <row r="528" spans="1:15" x14ac:dyDescent="0.6">
      <c r="I528" s="2">
        <v>5</v>
      </c>
      <c r="J528">
        <v>5</v>
      </c>
      <c r="K528" t="s">
        <v>176</v>
      </c>
      <c r="L528" t="str">
        <f t="shared" si="8"/>
        <v>Z</v>
      </c>
      <c r="M528" t="s">
        <v>3</v>
      </c>
      <c r="N528" t="s">
        <v>292</v>
      </c>
      <c r="O528" t="s">
        <v>992</v>
      </c>
    </row>
    <row r="529" spans="1:15" x14ac:dyDescent="0.6">
      <c r="I529" s="2">
        <v>6</v>
      </c>
      <c r="J529">
        <v>6</v>
      </c>
      <c r="K529" t="s">
        <v>208</v>
      </c>
      <c r="L529" t="str">
        <f t="shared" si="8"/>
        <v>P</v>
      </c>
      <c r="M529" t="s">
        <v>3</v>
      </c>
      <c r="N529" t="s">
        <v>180</v>
      </c>
      <c r="O529" t="s">
        <v>993</v>
      </c>
    </row>
    <row r="530" spans="1:15" x14ac:dyDescent="0.6">
      <c r="A530" t="s">
        <v>293</v>
      </c>
      <c r="B530" t="s">
        <v>100</v>
      </c>
      <c r="C530" t="s">
        <v>94</v>
      </c>
      <c r="D530" t="str">
        <f>IF(E530&gt;F530,"승",IF(E530&lt;F530,"패"))</f>
        <v>승</v>
      </c>
      <c r="E530">
        <f>COUNTIF(M530:M536,"승")</f>
        <v>4</v>
      </c>
      <c r="F530">
        <f>COUNTA(M530:M536)-E530</f>
        <v>3</v>
      </c>
      <c r="G530" s="1">
        <f>E530/(E530+F530)</f>
        <v>0.5714285714285714</v>
      </c>
      <c r="I530" s="2">
        <v>1</v>
      </c>
      <c r="J530" t="s">
        <v>559</v>
      </c>
      <c r="K530" t="s">
        <v>176</v>
      </c>
      <c r="L530" t="str">
        <f t="shared" si="8"/>
        <v>Z</v>
      </c>
      <c r="M530" t="s">
        <v>3</v>
      </c>
      <c r="N530" t="s">
        <v>73</v>
      </c>
      <c r="O530" t="s">
        <v>994</v>
      </c>
    </row>
    <row r="531" spans="1:15" x14ac:dyDescent="0.6">
      <c r="I531" s="2">
        <v>2</v>
      </c>
      <c r="J531">
        <v>2</v>
      </c>
      <c r="K531" t="s">
        <v>278</v>
      </c>
      <c r="L531" t="str">
        <f t="shared" si="8"/>
        <v>Z</v>
      </c>
      <c r="M531" t="s">
        <v>3</v>
      </c>
      <c r="N531" t="s">
        <v>76</v>
      </c>
      <c r="O531" t="s">
        <v>995</v>
      </c>
    </row>
    <row r="532" spans="1:15" x14ac:dyDescent="0.6">
      <c r="I532" s="2">
        <v>3</v>
      </c>
      <c r="J532">
        <v>3</v>
      </c>
      <c r="K532" t="s">
        <v>57</v>
      </c>
      <c r="L532" t="str">
        <f t="shared" si="8"/>
        <v>P</v>
      </c>
      <c r="M532" t="s">
        <v>4</v>
      </c>
      <c r="N532" t="s">
        <v>284</v>
      </c>
      <c r="O532" t="s">
        <v>996</v>
      </c>
    </row>
    <row r="533" spans="1:15" x14ac:dyDescent="0.6">
      <c r="I533" s="2">
        <v>4</v>
      </c>
      <c r="J533">
        <v>4</v>
      </c>
      <c r="K533" t="s">
        <v>57</v>
      </c>
      <c r="L533" t="str">
        <f t="shared" si="8"/>
        <v>P</v>
      </c>
      <c r="M533" t="s">
        <v>4</v>
      </c>
      <c r="N533" t="s">
        <v>284</v>
      </c>
      <c r="O533" t="s">
        <v>997</v>
      </c>
    </row>
    <row r="534" spans="1:15" x14ac:dyDescent="0.6">
      <c r="I534" s="2">
        <v>5</v>
      </c>
      <c r="J534">
        <v>5</v>
      </c>
      <c r="K534" t="s">
        <v>278</v>
      </c>
      <c r="L534" t="str">
        <f t="shared" si="8"/>
        <v>Z</v>
      </c>
      <c r="M534" t="s">
        <v>4</v>
      </c>
      <c r="N534" t="s">
        <v>76</v>
      </c>
      <c r="O534" t="s">
        <v>998</v>
      </c>
    </row>
    <row r="535" spans="1:15" x14ac:dyDescent="0.6">
      <c r="I535" s="2">
        <v>6</v>
      </c>
      <c r="J535">
        <v>6</v>
      </c>
      <c r="K535" t="s">
        <v>176</v>
      </c>
      <c r="L535" t="str">
        <f t="shared" si="8"/>
        <v>Z</v>
      </c>
      <c r="M535" t="s">
        <v>3</v>
      </c>
      <c r="N535" t="s">
        <v>73</v>
      </c>
      <c r="O535" t="s">
        <v>999</v>
      </c>
    </row>
    <row r="536" spans="1:15" x14ac:dyDescent="0.6">
      <c r="I536" s="2">
        <v>7</v>
      </c>
      <c r="J536">
        <v>7</v>
      </c>
      <c r="K536" t="s">
        <v>278</v>
      </c>
      <c r="L536" t="str">
        <f t="shared" si="8"/>
        <v>Z</v>
      </c>
      <c r="M536" t="s">
        <v>3</v>
      </c>
      <c r="N536" t="s">
        <v>76</v>
      </c>
      <c r="O536" t="s">
        <v>1000</v>
      </c>
    </row>
    <row r="537" spans="1:15" x14ac:dyDescent="0.6">
      <c r="A537" t="s">
        <v>293</v>
      </c>
      <c r="B537" t="s">
        <v>23</v>
      </c>
      <c r="C537" t="s">
        <v>171</v>
      </c>
      <c r="D537" t="str">
        <f>IF(E537&gt;F537,"승",IF(E537&lt;F537,"패"))</f>
        <v>패</v>
      </c>
      <c r="E537">
        <f>COUNTIF(M537:M546,"승")</f>
        <v>4</v>
      </c>
      <c r="F537">
        <f>COUNTA(M537:M546)-E537</f>
        <v>6</v>
      </c>
      <c r="G537" s="1">
        <f>E537/(E537+F537)</f>
        <v>0.4</v>
      </c>
      <c r="H537" s="1" t="s">
        <v>119</v>
      </c>
      <c r="I537" s="2">
        <v>1</v>
      </c>
      <c r="J537" t="s">
        <v>559</v>
      </c>
      <c r="K537" t="s">
        <v>133</v>
      </c>
      <c r="L537" t="str">
        <f t="shared" si="8"/>
        <v>P</v>
      </c>
      <c r="M537" t="s">
        <v>3</v>
      </c>
      <c r="N537" t="s">
        <v>225</v>
      </c>
    </row>
    <row r="538" spans="1:15" x14ac:dyDescent="0.6">
      <c r="I538" s="2">
        <v>2</v>
      </c>
      <c r="J538">
        <v>2</v>
      </c>
      <c r="K538" t="s">
        <v>18</v>
      </c>
      <c r="L538" t="str">
        <f t="shared" si="8"/>
        <v>Z</v>
      </c>
      <c r="M538" t="s">
        <v>3</v>
      </c>
      <c r="N538" t="s">
        <v>89</v>
      </c>
    </row>
    <row r="539" spans="1:15" x14ac:dyDescent="0.6">
      <c r="I539" s="2">
        <v>3</v>
      </c>
      <c r="J539">
        <v>3</v>
      </c>
      <c r="K539" t="s">
        <v>281</v>
      </c>
      <c r="L539" t="str">
        <f t="shared" si="8"/>
        <v>P</v>
      </c>
      <c r="M539" t="s">
        <v>4</v>
      </c>
      <c r="N539" t="s">
        <v>90</v>
      </c>
    </row>
    <row r="540" spans="1:15" x14ac:dyDescent="0.6">
      <c r="I540" s="2">
        <v>4</v>
      </c>
      <c r="J540">
        <v>4</v>
      </c>
      <c r="K540" t="s">
        <v>177</v>
      </c>
      <c r="L540" t="str">
        <f t="shared" si="8"/>
        <v>T</v>
      </c>
      <c r="M540" t="s">
        <v>3</v>
      </c>
      <c r="N540" t="s">
        <v>17</v>
      </c>
    </row>
    <row r="541" spans="1:15" x14ac:dyDescent="0.6">
      <c r="I541" s="2">
        <v>5</v>
      </c>
      <c r="J541" t="s">
        <v>559</v>
      </c>
      <c r="K541" t="s">
        <v>281</v>
      </c>
      <c r="L541" t="str">
        <f t="shared" si="8"/>
        <v>P</v>
      </c>
      <c r="M541" t="s">
        <v>4</v>
      </c>
      <c r="N541" t="s">
        <v>90</v>
      </c>
    </row>
    <row r="542" spans="1:15" x14ac:dyDescent="0.6">
      <c r="I542" s="2">
        <v>6</v>
      </c>
      <c r="J542">
        <v>2</v>
      </c>
      <c r="K542" t="s">
        <v>177</v>
      </c>
      <c r="L542" t="str">
        <f t="shared" si="8"/>
        <v>T</v>
      </c>
      <c r="M542" t="s">
        <v>4</v>
      </c>
      <c r="N542" t="s">
        <v>90</v>
      </c>
    </row>
    <row r="543" spans="1:15" x14ac:dyDescent="0.6">
      <c r="I543" s="2">
        <v>7</v>
      </c>
      <c r="J543">
        <v>3</v>
      </c>
      <c r="K543" t="s">
        <v>133</v>
      </c>
      <c r="L543" t="str">
        <f t="shared" si="8"/>
        <v>P</v>
      </c>
      <c r="M543" t="s">
        <v>4</v>
      </c>
      <c r="N543" t="s">
        <v>90</v>
      </c>
    </row>
    <row r="544" spans="1:15" x14ac:dyDescent="0.6">
      <c r="I544" s="2">
        <v>8</v>
      </c>
      <c r="J544">
        <v>4</v>
      </c>
      <c r="K544" t="s">
        <v>18</v>
      </c>
      <c r="L544" t="str">
        <f t="shared" si="8"/>
        <v>Z</v>
      </c>
      <c r="M544" t="s">
        <v>3</v>
      </c>
      <c r="N544" t="s">
        <v>90</v>
      </c>
    </row>
    <row r="545" spans="1:15" x14ac:dyDescent="0.6">
      <c r="I545" s="2">
        <v>9</v>
      </c>
      <c r="J545">
        <v>5</v>
      </c>
      <c r="K545" t="s">
        <v>18</v>
      </c>
      <c r="L545" t="str">
        <f t="shared" si="8"/>
        <v>Z</v>
      </c>
      <c r="M545" t="s">
        <v>4</v>
      </c>
      <c r="N545" t="s">
        <v>17</v>
      </c>
    </row>
    <row r="546" spans="1:15" x14ac:dyDescent="0.6">
      <c r="I546" s="2">
        <v>10</v>
      </c>
      <c r="J546" t="s">
        <v>562</v>
      </c>
      <c r="K546" t="s">
        <v>18</v>
      </c>
      <c r="L546" t="str">
        <f t="shared" si="8"/>
        <v>Z</v>
      </c>
      <c r="M546" t="s">
        <v>4</v>
      </c>
      <c r="N546" t="s">
        <v>90</v>
      </c>
    </row>
    <row r="547" spans="1:15" x14ac:dyDescent="0.6">
      <c r="A547" t="s">
        <v>294</v>
      </c>
      <c r="B547" t="s">
        <v>23</v>
      </c>
      <c r="C547" t="s">
        <v>171</v>
      </c>
      <c r="D547" t="str">
        <f>IF(E547&gt;F547,"승",IF(E547&lt;F547,"패"))</f>
        <v>패</v>
      </c>
      <c r="E547">
        <f>COUNTIF(M547:M554,"승")</f>
        <v>3</v>
      </c>
      <c r="F547">
        <f>COUNTA(M547:M554)-E547</f>
        <v>5</v>
      </c>
      <c r="G547" s="1">
        <f>E547/(E547+F547)</f>
        <v>0.375</v>
      </c>
      <c r="H547" s="1"/>
      <c r="I547" s="2">
        <v>1</v>
      </c>
      <c r="J547" t="s">
        <v>559</v>
      </c>
      <c r="K547" t="s">
        <v>283</v>
      </c>
      <c r="L547" t="str">
        <f t="shared" si="8"/>
        <v>Z</v>
      </c>
      <c r="M547" t="s">
        <v>3</v>
      </c>
      <c r="N547" t="s">
        <v>286</v>
      </c>
      <c r="O547" t="s">
        <v>1001</v>
      </c>
    </row>
    <row r="548" spans="1:15" x14ac:dyDescent="0.6">
      <c r="I548" s="2">
        <v>2</v>
      </c>
      <c r="J548">
        <v>2</v>
      </c>
      <c r="K548" t="s">
        <v>278</v>
      </c>
      <c r="L548" t="str">
        <f t="shared" si="8"/>
        <v>Z</v>
      </c>
      <c r="M548" t="s">
        <v>4</v>
      </c>
      <c r="N548" t="s">
        <v>36</v>
      </c>
      <c r="O548" t="s">
        <v>1002</v>
      </c>
    </row>
    <row r="549" spans="1:15" x14ac:dyDescent="0.6">
      <c r="I549" s="2">
        <v>3</v>
      </c>
      <c r="J549">
        <v>3</v>
      </c>
      <c r="K549" t="s">
        <v>176</v>
      </c>
      <c r="L549" t="str">
        <f t="shared" si="8"/>
        <v>Z</v>
      </c>
      <c r="M549" t="s">
        <v>3</v>
      </c>
      <c r="N549" t="s">
        <v>230</v>
      </c>
      <c r="O549" t="s">
        <v>1003</v>
      </c>
    </row>
    <row r="550" spans="1:15" x14ac:dyDescent="0.6">
      <c r="I550" s="2">
        <v>4</v>
      </c>
      <c r="J550">
        <v>4</v>
      </c>
      <c r="K550" t="s">
        <v>177</v>
      </c>
      <c r="L550" t="str">
        <f t="shared" si="8"/>
        <v>T</v>
      </c>
      <c r="M550" t="s">
        <v>4</v>
      </c>
      <c r="N550" t="s">
        <v>68</v>
      </c>
      <c r="O550" t="s">
        <v>1004</v>
      </c>
    </row>
    <row r="551" spans="1:15" x14ac:dyDescent="0.6">
      <c r="I551" s="2">
        <v>5</v>
      </c>
      <c r="J551">
        <v>5</v>
      </c>
      <c r="K551" t="s">
        <v>66</v>
      </c>
      <c r="L551" t="str">
        <f t="shared" si="8"/>
        <v>Z</v>
      </c>
      <c r="M551" t="s">
        <v>4</v>
      </c>
      <c r="N551" t="s">
        <v>207</v>
      </c>
      <c r="O551" t="s">
        <v>1005</v>
      </c>
    </row>
    <row r="552" spans="1:15" x14ac:dyDescent="0.6">
      <c r="I552" s="2">
        <v>6</v>
      </c>
      <c r="J552">
        <v>6</v>
      </c>
      <c r="K552" t="s">
        <v>18</v>
      </c>
      <c r="L552" t="str">
        <f t="shared" si="8"/>
        <v>Z</v>
      </c>
      <c r="M552" t="s">
        <v>3</v>
      </c>
      <c r="N552" t="s">
        <v>219</v>
      </c>
      <c r="O552" t="s">
        <v>1006</v>
      </c>
    </row>
    <row r="553" spans="1:15" x14ac:dyDescent="0.6">
      <c r="I553" s="2">
        <v>7</v>
      </c>
      <c r="J553">
        <v>7</v>
      </c>
      <c r="K553" t="s">
        <v>278</v>
      </c>
      <c r="L553" t="str">
        <f t="shared" si="8"/>
        <v>Z</v>
      </c>
      <c r="M553" t="s">
        <v>4</v>
      </c>
      <c r="N553" t="s">
        <v>36</v>
      </c>
      <c r="O553" t="s">
        <v>1007</v>
      </c>
    </row>
    <row r="554" spans="1:15" x14ac:dyDescent="0.6">
      <c r="I554" s="2">
        <v>8</v>
      </c>
      <c r="J554">
        <v>8</v>
      </c>
      <c r="K554" t="s">
        <v>18</v>
      </c>
      <c r="L554" t="str">
        <f t="shared" si="8"/>
        <v>Z</v>
      </c>
      <c r="M554" t="s">
        <v>4</v>
      </c>
      <c r="N554" t="s">
        <v>219</v>
      </c>
      <c r="O554" t="s">
        <v>1008</v>
      </c>
    </row>
    <row r="555" spans="1:15" x14ac:dyDescent="0.6">
      <c r="A555" t="s">
        <v>295</v>
      </c>
      <c r="B555" t="s">
        <v>110</v>
      </c>
      <c r="C555" t="s">
        <v>55</v>
      </c>
      <c r="D555" t="str">
        <f>IF(E555&gt;F555,"승",IF(E555&lt;F555,"패"))</f>
        <v>패</v>
      </c>
      <c r="E555">
        <f>COUNTIF(M555:M561,"승")</f>
        <v>3</v>
      </c>
      <c r="F555">
        <f>COUNTA(M555:M561)-E555</f>
        <v>4</v>
      </c>
      <c r="G555" s="1">
        <f>E555/(E555+F555)</f>
        <v>0.42857142857142855</v>
      </c>
      <c r="H555" t="s">
        <v>276</v>
      </c>
      <c r="I555" s="2">
        <v>1</v>
      </c>
      <c r="J555" t="s">
        <v>559</v>
      </c>
      <c r="K555" t="s">
        <v>283</v>
      </c>
      <c r="L555" t="str">
        <f t="shared" si="8"/>
        <v>Z</v>
      </c>
      <c r="M555" t="s">
        <v>4</v>
      </c>
      <c r="N555" t="s">
        <v>296</v>
      </c>
      <c r="O555" t="s">
        <v>1009</v>
      </c>
    </row>
    <row r="556" spans="1:15" x14ac:dyDescent="0.6">
      <c r="I556" s="2">
        <v>2</v>
      </c>
      <c r="J556">
        <v>2</v>
      </c>
      <c r="K556" t="s">
        <v>177</v>
      </c>
      <c r="L556" t="str">
        <f t="shared" si="8"/>
        <v>T</v>
      </c>
      <c r="M556" t="s">
        <v>4</v>
      </c>
      <c r="N556" t="s">
        <v>289</v>
      </c>
      <c r="O556" t="s">
        <v>1010</v>
      </c>
    </row>
    <row r="557" spans="1:15" x14ac:dyDescent="0.6">
      <c r="I557" s="2">
        <v>3</v>
      </c>
      <c r="J557">
        <v>3</v>
      </c>
      <c r="K557" t="s">
        <v>8</v>
      </c>
      <c r="L557" t="str">
        <f t="shared" si="8"/>
        <v>P</v>
      </c>
      <c r="M557" t="s">
        <v>3</v>
      </c>
      <c r="N557" t="s">
        <v>204</v>
      </c>
      <c r="O557" t="s">
        <v>1011</v>
      </c>
    </row>
    <row r="558" spans="1:15" x14ac:dyDescent="0.6">
      <c r="I558" s="2">
        <v>4</v>
      </c>
      <c r="J558">
        <v>4</v>
      </c>
      <c r="K558" t="s">
        <v>66</v>
      </c>
      <c r="L558" t="str">
        <f t="shared" si="8"/>
        <v>Z</v>
      </c>
      <c r="M558" t="s">
        <v>4</v>
      </c>
      <c r="N558" t="s">
        <v>69</v>
      </c>
      <c r="O558" t="s">
        <v>1012</v>
      </c>
    </row>
    <row r="559" spans="1:15" x14ac:dyDescent="0.6">
      <c r="I559" s="2">
        <v>5</v>
      </c>
      <c r="J559">
        <v>5</v>
      </c>
      <c r="K559" t="s">
        <v>208</v>
      </c>
      <c r="L559" t="str">
        <f t="shared" si="8"/>
        <v>P</v>
      </c>
      <c r="M559" t="s">
        <v>3</v>
      </c>
      <c r="N559" t="s">
        <v>203</v>
      </c>
      <c r="O559" t="s">
        <v>1013</v>
      </c>
    </row>
    <row r="560" spans="1:15" x14ac:dyDescent="0.6">
      <c r="I560" s="2">
        <v>6</v>
      </c>
      <c r="J560">
        <v>6</v>
      </c>
      <c r="K560" t="s">
        <v>176</v>
      </c>
      <c r="L560" t="str">
        <f t="shared" si="8"/>
        <v>Z</v>
      </c>
      <c r="M560" t="s">
        <v>3</v>
      </c>
      <c r="N560" t="s">
        <v>195</v>
      </c>
      <c r="O560" t="s">
        <v>1014</v>
      </c>
    </row>
    <row r="561" spans="1:15" x14ac:dyDescent="0.6">
      <c r="I561" s="2">
        <v>7</v>
      </c>
      <c r="J561">
        <v>7</v>
      </c>
      <c r="K561" t="s">
        <v>176</v>
      </c>
      <c r="L561" t="str">
        <f t="shared" si="8"/>
        <v>Z</v>
      </c>
      <c r="M561" t="s">
        <v>4</v>
      </c>
      <c r="N561" t="s">
        <v>195</v>
      </c>
      <c r="O561" t="s">
        <v>1015</v>
      </c>
    </row>
    <row r="562" spans="1:15" x14ac:dyDescent="0.6">
      <c r="A562" t="s">
        <v>297</v>
      </c>
      <c r="B562" t="s">
        <v>298</v>
      </c>
      <c r="C562" t="s">
        <v>55</v>
      </c>
      <c r="D562" t="str">
        <f>IF(E562&gt;F562,"승",IF(E562&lt;F562,"패"))</f>
        <v>승</v>
      </c>
      <c r="E562">
        <f>COUNTIF(M562:M568,"승")</f>
        <v>4</v>
      </c>
      <c r="F562">
        <f>COUNTA(M562:M568)-E562</f>
        <v>3</v>
      </c>
      <c r="G562" s="1">
        <f>E562/(E562+F562)</f>
        <v>0.5714285714285714</v>
      </c>
      <c r="H562" t="s">
        <v>276</v>
      </c>
      <c r="I562" s="2">
        <v>1</v>
      </c>
      <c r="J562" t="s">
        <v>559</v>
      </c>
      <c r="K562" t="s">
        <v>18</v>
      </c>
      <c r="L562" t="str">
        <f t="shared" si="8"/>
        <v>Z</v>
      </c>
      <c r="M562" t="s">
        <v>4</v>
      </c>
      <c r="N562" t="s">
        <v>58</v>
      </c>
      <c r="O562" t="s">
        <v>1016</v>
      </c>
    </row>
    <row r="563" spans="1:15" x14ac:dyDescent="0.6">
      <c r="I563" s="2">
        <v>2</v>
      </c>
      <c r="J563">
        <v>2</v>
      </c>
      <c r="K563" t="s">
        <v>176</v>
      </c>
      <c r="L563" t="str">
        <f t="shared" si="8"/>
        <v>Z</v>
      </c>
      <c r="M563" t="s">
        <v>3</v>
      </c>
      <c r="N563" t="s">
        <v>391</v>
      </c>
      <c r="O563" t="s">
        <v>1017</v>
      </c>
    </row>
    <row r="564" spans="1:15" x14ac:dyDescent="0.6">
      <c r="I564" s="2">
        <v>3</v>
      </c>
      <c r="J564">
        <v>3</v>
      </c>
      <c r="K564" t="s">
        <v>66</v>
      </c>
      <c r="L564" t="str">
        <f t="shared" si="8"/>
        <v>Z</v>
      </c>
      <c r="M564" t="s">
        <v>4</v>
      </c>
      <c r="N564" t="s">
        <v>213</v>
      </c>
      <c r="O564" t="s">
        <v>1018</v>
      </c>
    </row>
    <row r="565" spans="1:15" x14ac:dyDescent="0.6">
      <c r="I565" s="2">
        <v>4</v>
      </c>
      <c r="J565">
        <v>4</v>
      </c>
      <c r="K565" t="s">
        <v>8</v>
      </c>
      <c r="L565" t="str">
        <f t="shared" si="8"/>
        <v>P</v>
      </c>
      <c r="M565" t="s">
        <v>3</v>
      </c>
      <c r="N565" t="s">
        <v>153</v>
      </c>
      <c r="O565" t="s">
        <v>1019</v>
      </c>
    </row>
    <row r="566" spans="1:15" x14ac:dyDescent="0.6">
      <c r="I566" s="2">
        <v>5</v>
      </c>
      <c r="J566">
        <v>5</v>
      </c>
      <c r="K566" t="s">
        <v>208</v>
      </c>
      <c r="L566" t="str">
        <f t="shared" si="8"/>
        <v>P</v>
      </c>
      <c r="M566" t="s">
        <v>3</v>
      </c>
      <c r="N566" t="s">
        <v>214</v>
      </c>
      <c r="O566" t="s">
        <v>1020</v>
      </c>
    </row>
    <row r="567" spans="1:15" x14ac:dyDescent="0.6">
      <c r="I567" s="2">
        <v>6</v>
      </c>
      <c r="J567">
        <v>6</v>
      </c>
      <c r="K567" t="s">
        <v>281</v>
      </c>
      <c r="L567" t="str">
        <f t="shared" si="8"/>
        <v>P</v>
      </c>
      <c r="M567" t="s">
        <v>4</v>
      </c>
      <c r="N567" t="s">
        <v>212</v>
      </c>
      <c r="O567" t="s">
        <v>1021</v>
      </c>
    </row>
    <row r="568" spans="1:15" x14ac:dyDescent="0.6">
      <c r="I568" s="2">
        <v>7</v>
      </c>
      <c r="J568">
        <v>7</v>
      </c>
      <c r="K568" t="s">
        <v>18</v>
      </c>
      <c r="L568" t="str">
        <f t="shared" si="8"/>
        <v>Z</v>
      </c>
      <c r="M568" t="s">
        <v>3</v>
      </c>
      <c r="N568" t="s">
        <v>58</v>
      </c>
      <c r="O568" t="s">
        <v>1022</v>
      </c>
    </row>
    <row r="569" spans="1:15" x14ac:dyDescent="0.6">
      <c r="A569" t="s">
        <v>299</v>
      </c>
      <c r="B569" t="s">
        <v>117</v>
      </c>
      <c r="C569" t="s">
        <v>55</v>
      </c>
      <c r="D569" t="str">
        <f>IF(E569&gt;F569,"승",IF(E569&lt;F569,"패"))</f>
        <v>승</v>
      </c>
      <c r="E569">
        <f>COUNTIF(M569:M575,"승")</f>
        <v>4</v>
      </c>
      <c r="F569">
        <f>COUNTA(M569:M575)-E569</f>
        <v>3</v>
      </c>
      <c r="G569" s="1">
        <f>E569/(E569+F569)</f>
        <v>0.5714285714285714</v>
      </c>
      <c r="H569" t="s">
        <v>276</v>
      </c>
      <c r="I569" s="2">
        <v>1</v>
      </c>
      <c r="J569" t="s">
        <v>559</v>
      </c>
      <c r="K569" t="s">
        <v>176</v>
      </c>
      <c r="L569" t="str">
        <f t="shared" si="8"/>
        <v>Z</v>
      </c>
      <c r="M569" t="s">
        <v>3</v>
      </c>
      <c r="N569" t="s">
        <v>149</v>
      </c>
      <c r="O569" t="s">
        <v>1023</v>
      </c>
    </row>
    <row r="570" spans="1:15" x14ac:dyDescent="0.6">
      <c r="I570" s="2">
        <v>2</v>
      </c>
      <c r="J570">
        <v>2</v>
      </c>
      <c r="K570" t="s">
        <v>281</v>
      </c>
      <c r="L570" t="str">
        <f t="shared" si="8"/>
        <v>P</v>
      </c>
      <c r="M570" t="s">
        <v>4</v>
      </c>
      <c r="N570" t="s">
        <v>39</v>
      </c>
      <c r="O570" t="s">
        <v>1024</v>
      </c>
    </row>
    <row r="571" spans="1:15" x14ac:dyDescent="0.6">
      <c r="I571" s="2">
        <v>3</v>
      </c>
      <c r="J571">
        <v>3</v>
      </c>
      <c r="K571" t="s">
        <v>8</v>
      </c>
      <c r="L571" t="str">
        <f t="shared" si="8"/>
        <v>P</v>
      </c>
      <c r="M571" t="s">
        <v>3</v>
      </c>
      <c r="N571" t="s">
        <v>120</v>
      </c>
      <c r="O571" t="s">
        <v>1025</v>
      </c>
    </row>
    <row r="572" spans="1:15" x14ac:dyDescent="0.6">
      <c r="I572" s="2">
        <v>4</v>
      </c>
      <c r="J572">
        <v>4</v>
      </c>
      <c r="K572" t="s">
        <v>208</v>
      </c>
      <c r="L572" t="str">
        <f t="shared" si="8"/>
        <v>P</v>
      </c>
      <c r="M572" t="s">
        <v>4</v>
      </c>
      <c r="N572" t="s">
        <v>182</v>
      </c>
      <c r="O572" t="s">
        <v>1026</v>
      </c>
    </row>
    <row r="573" spans="1:15" x14ac:dyDescent="0.6">
      <c r="I573" s="2">
        <v>5</v>
      </c>
      <c r="J573">
        <v>5</v>
      </c>
      <c r="K573" t="s">
        <v>18</v>
      </c>
      <c r="L573" t="str">
        <f t="shared" si="8"/>
        <v>Z</v>
      </c>
      <c r="M573" t="s">
        <v>3</v>
      </c>
      <c r="N573" t="s">
        <v>150</v>
      </c>
      <c r="O573" t="s">
        <v>1027</v>
      </c>
    </row>
    <row r="574" spans="1:15" x14ac:dyDescent="0.6">
      <c r="I574" s="2">
        <v>6</v>
      </c>
      <c r="J574">
        <v>6</v>
      </c>
      <c r="K574" t="s">
        <v>283</v>
      </c>
      <c r="L574" t="str">
        <f t="shared" si="8"/>
        <v>Z</v>
      </c>
      <c r="M574" t="s">
        <v>4</v>
      </c>
      <c r="N574" t="s">
        <v>300</v>
      </c>
      <c r="O574" t="s">
        <v>1028</v>
      </c>
    </row>
    <row r="575" spans="1:15" x14ac:dyDescent="0.6">
      <c r="I575" s="2">
        <v>7</v>
      </c>
      <c r="J575">
        <v>7</v>
      </c>
      <c r="K575" t="s">
        <v>176</v>
      </c>
      <c r="L575" t="str">
        <f t="shared" si="8"/>
        <v>Z</v>
      </c>
      <c r="M575" t="s">
        <v>3</v>
      </c>
      <c r="N575" t="s">
        <v>149</v>
      </c>
      <c r="O575" t="s">
        <v>1029</v>
      </c>
    </row>
    <row r="576" spans="1:15" x14ac:dyDescent="0.6">
      <c r="A576" t="s">
        <v>1030</v>
      </c>
      <c r="B576" t="s">
        <v>23</v>
      </c>
      <c r="C576" t="s">
        <v>171</v>
      </c>
      <c r="D576" t="str">
        <f>IF(E576&gt;F576,"승",IF(E576&lt;F576,"패"))</f>
        <v>패</v>
      </c>
      <c r="E576">
        <f>COUNTIF(M576:M581,"승")</f>
        <v>1</v>
      </c>
      <c r="F576">
        <f>COUNTA(M576:M581)-E576</f>
        <v>5</v>
      </c>
      <c r="G576" s="1">
        <f>E576/(E576+F576)</f>
        <v>0.16666666666666666</v>
      </c>
      <c r="I576" s="2">
        <v>1</v>
      </c>
      <c r="J576" t="s">
        <v>559</v>
      </c>
      <c r="K576" t="s">
        <v>37</v>
      </c>
      <c r="L576" t="str">
        <f t="shared" si="8"/>
        <v>Z</v>
      </c>
      <c r="M576" t="s">
        <v>3</v>
      </c>
      <c r="N576" t="s">
        <v>42</v>
      </c>
      <c r="O576" t="s">
        <v>1031</v>
      </c>
    </row>
    <row r="577" spans="1:15" x14ac:dyDescent="0.6">
      <c r="I577" s="2">
        <v>2</v>
      </c>
      <c r="J577">
        <v>2</v>
      </c>
      <c r="K577" t="s">
        <v>301</v>
      </c>
      <c r="L577" t="str">
        <f t="shared" si="8"/>
        <v>P</v>
      </c>
      <c r="M577" t="s">
        <v>4</v>
      </c>
      <c r="N577" t="s">
        <v>302</v>
      </c>
      <c r="O577" t="s">
        <v>1032</v>
      </c>
    </row>
    <row r="578" spans="1:15" x14ac:dyDescent="0.6">
      <c r="I578" s="2">
        <v>3</v>
      </c>
      <c r="J578">
        <v>3</v>
      </c>
      <c r="K578" t="s">
        <v>216</v>
      </c>
      <c r="L578" t="str">
        <f t="shared" si="8"/>
        <v>P</v>
      </c>
      <c r="M578" t="s">
        <v>4</v>
      </c>
      <c r="N578" t="s">
        <v>128</v>
      </c>
      <c r="O578" t="s">
        <v>1033</v>
      </c>
    </row>
    <row r="579" spans="1:15" x14ac:dyDescent="0.6">
      <c r="I579" s="2">
        <v>4</v>
      </c>
      <c r="J579">
        <v>4</v>
      </c>
      <c r="K579" t="s">
        <v>217</v>
      </c>
      <c r="L579" t="str">
        <f t="shared" si="8"/>
        <v>T</v>
      </c>
      <c r="M579" t="s">
        <v>4</v>
      </c>
      <c r="N579" t="s">
        <v>184</v>
      </c>
      <c r="O579" t="s">
        <v>1034</v>
      </c>
    </row>
    <row r="580" spans="1:15" x14ac:dyDescent="0.6">
      <c r="I580" s="2">
        <v>5</v>
      </c>
      <c r="J580">
        <v>5</v>
      </c>
      <c r="K580" t="s">
        <v>145</v>
      </c>
      <c r="L580" t="str">
        <f t="shared" ref="L580:L643" si="9">INDEX($R$2:$R$99,MATCH(K580,$Q$2:$Q$99,0))</f>
        <v>P</v>
      </c>
      <c r="M580" t="s">
        <v>4</v>
      </c>
      <c r="N580" t="s">
        <v>249</v>
      </c>
      <c r="O580" t="s">
        <v>1035</v>
      </c>
    </row>
    <row r="581" spans="1:15" x14ac:dyDescent="0.6">
      <c r="I581" s="2">
        <v>6</v>
      </c>
      <c r="J581">
        <v>6</v>
      </c>
      <c r="K581" t="s">
        <v>35</v>
      </c>
      <c r="L581" t="str">
        <f t="shared" si="9"/>
        <v>Z</v>
      </c>
      <c r="M581" t="s">
        <v>4</v>
      </c>
      <c r="N581" t="s">
        <v>236</v>
      </c>
      <c r="O581" t="s">
        <v>1036</v>
      </c>
    </row>
    <row r="582" spans="1:15" x14ac:dyDescent="0.6">
      <c r="A582" t="s">
        <v>303</v>
      </c>
      <c r="B582" t="s">
        <v>224</v>
      </c>
      <c r="C582" t="s">
        <v>55</v>
      </c>
      <c r="D582" t="str">
        <f>IF(E582&gt;F582,"승",IF(E582&lt;F582,"패"))</f>
        <v>승</v>
      </c>
      <c r="E582">
        <f>COUNTIF(M582:M588,"승")</f>
        <v>4</v>
      </c>
      <c r="F582">
        <f>COUNTA(M582:M588)-E582</f>
        <v>3</v>
      </c>
      <c r="G582" s="1">
        <f>E582/(E582+F582)</f>
        <v>0.5714285714285714</v>
      </c>
      <c r="H582" t="s">
        <v>276</v>
      </c>
      <c r="I582" s="2">
        <v>1</v>
      </c>
      <c r="J582" t="s">
        <v>559</v>
      </c>
      <c r="K582" t="s">
        <v>208</v>
      </c>
      <c r="L582" t="str">
        <f t="shared" si="9"/>
        <v>P</v>
      </c>
      <c r="M582" t="s">
        <v>3</v>
      </c>
      <c r="N582" t="s">
        <v>304</v>
      </c>
      <c r="O582" t="s">
        <v>1037</v>
      </c>
    </row>
    <row r="583" spans="1:15" x14ac:dyDescent="0.6">
      <c r="I583" s="2">
        <v>2</v>
      </c>
      <c r="J583">
        <v>2</v>
      </c>
      <c r="K583" t="s">
        <v>66</v>
      </c>
      <c r="L583" t="str">
        <f t="shared" si="9"/>
        <v>Z</v>
      </c>
      <c r="M583" t="s">
        <v>3</v>
      </c>
      <c r="N583" t="s">
        <v>305</v>
      </c>
      <c r="O583" t="s">
        <v>1038</v>
      </c>
    </row>
    <row r="584" spans="1:15" x14ac:dyDescent="0.6">
      <c r="I584" s="2">
        <v>3</v>
      </c>
      <c r="J584">
        <v>3</v>
      </c>
      <c r="K584" t="s">
        <v>176</v>
      </c>
      <c r="L584" t="str">
        <f t="shared" si="9"/>
        <v>Z</v>
      </c>
      <c r="M584" t="s">
        <v>4</v>
      </c>
      <c r="N584" t="s">
        <v>306</v>
      </c>
      <c r="O584" t="s">
        <v>1039</v>
      </c>
    </row>
    <row r="585" spans="1:15" x14ac:dyDescent="0.6">
      <c r="I585" s="2">
        <v>4</v>
      </c>
      <c r="J585">
        <v>4</v>
      </c>
      <c r="K585" t="s">
        <v>177</v>
      </c>
      <c r="L585" t="str">
        <f t="shared" si="9"/>
        <v>T</v>
      </c>
      <c r="M585" t="s">
        <v>4</v>
      </c>
      <c r="N585" t="s">
        <v>225</v>
      </c>
      <c r="O585" t="s">
        <v>1040</v>
      </c>
    </row>
    <row r="586" spans="1:15" x14ac:dyDescent="0.6">
      <c r="I586" s="2">
        <v>5</v>
      </c>
      <c r="J586">
        <v>5</v>
      </c>
      <c r="K586" t="s">
        <v>281</v>
      </c>
      <c r="L586" t="str">
        <f t="shared" si="9"/>
        <v>P</v>
      </c>
      <c r="M586" t="s">
        <v>4</v>
      </c>
      <c r="N586" t="s">
        <v>227</v>
      </c>
      <c r="O586" t="s">
        <v>1041</v>
      </c>
    </row>
    <row r="587" spans="1:15" x14ac:dyDescent="0.6">
      <c r="I587" s="2">
        <v>6</v>
      </c>
      <c r="J587">
        <v>6</v>
      </c>
      <c r="K587" t="s">
        <v>8</v>
      </c>
      <c r="L587" t="str">
        <f t="shared" si="9"/>
        <v>P</v>
      </c>
      <c r="M587" t="s">
        <v>3</v>
      </c>
      <c r="N587" t="s">
        <v>229</v>
      </c>
      <c r="O587" t="s">
        <v>1042</v>
      </c>
    </row>
    <row r="588" spans="1:15" x14ac:dyDescent="0.6">
      <c r="I588" s="2">
        <v>7</v>
      </c>
      <c r="J588">
        <v>7</v>
      </c>
      <c r="K588" t="s">
        <v>8</v>
      </c>
      <c r="L588" t="str">
        <f t="shared" si="9"/>
        <v>P</v>
      </c>
      <c r="M588" t="s">
        <v>3</v>
      </c>
      <c r="N588" t="s">
        <v>229</v>
      </c>
      <c r="O588" t="s">
        <v>1043</v>
      </c>
    </row>
    <row r="589" spans="1:15" x14ac:dyDescent="0.6">
      <c r="A589" t="s">
        <v>307</v>
      </c>
      <c r="B589" t="s">
        <v>93</v>
      </c>
      <c r="C589" t="s">
        <v>55</v>
      </c>
      <c r="D589" t="str">
        <f>IF(E589&gt;F589,"승",IF(E589&lt;F589,"패"))</f>
        <v>승</v>
      </c>
      <c r="E589">
        <f>COUNTIF(M589:M594,"승")</f>
        <v>4</v>
      </c>
      <c r="F589">
        <f>COUNTA(M589:M594)-E589</f>
        <v>2</v>
      </c>
      <c r="G589" s="1">
        <f>E589/(E589+F589)</f>
        <v>0.66666666666666663</v>
      </c>
      <c r="H589" t="s">
        <v>276</v>
      </c>
      <c r="I589" s="2">
        <v>1</v>
      </c>
      <c r="J589" t="s">
        <v>559</v>
      </c>
      <c r="K589" t="s">
        <v>208</v>
      </c>
      <c r="L589" t="str">
        <f t="shared" si="9"/>
        <v>P</v>
      </c>
      <c r="M589" t="s">
        <v>3</v>
      </c>
      <c r="N589" t="s">
        <v>102</v>
      </c>
      <c r="O589" t="s">
        <v>1044</v>
      </c>
    </row>
    <row r="590" spans="1:15" x14ac:dyDescent="0.6">
      <c r="I590" s="2">
        <v>2</v>
      </c>
      <c r="J590">
        <v>2</v>
      </c>
      <c r="K590" t="s">
        <v>66</v>
      </c>
      <c r="L590" t="str">
        <f t="shared" si="9"/>
        <v>Z</v>
      </c>
      <c r="M590" t="s">
        <v>4</v>
      </c>
      <c r="N590" t="s">
        <v>308</v>
      </c>
      <c r="O590" t="s">
        <v>1045</v>
      </c>
    </row>
    <row r="591" spans="1:15" x14ac:dyDescent="0.6">
      <c r="I591" s="2">
        <v>3</v>
      </c>
      <c r="J591">
        <v>3</v>
      </c>
      <c r="K591" t="s">
        <v>283</v>
      </c>
      <c r="L591" t="str">
        <f t="shared" si="9"/>
        <v>Z</v>
      </c>
      <c r="M591" t="s">
        <v>3</v>
      </c>
      <c r="N591" t="s">
        <v>309</v>
      </c>
      <c r="O591" t="s">
        <v>1046</v>
      </c>
    </row>
    <row r="592" spans="1:15" x14ac:dyDescent="0.6">
      <c r="I592" s="2">
        <v>4</v>
      </c>
      <c r="J592">
        <v>4</v>
      </c>
      <c r="K592" t="s">
        <v>281</v>
      </c>
      <c r="L592" t="str">
        <f t="shared" si="9"/>
        <v>P</v>
      </c>
      <c r="M592" t="s">
        <v>4</v>
      </c>
      <c r="N592" t="s">
        <v>199</v>
      </c>
      <c r="O592" t="s">
        <v>1047</v>
      </c>
    </row>
    <row r="593" spans="1:15" x14ac:dyDescent="0.6">
      <c r="I593" s="2">
        <v>5</v>
      </c>
      <c r="J593">
        <v>5</v>
      </c>
      <c r="K593" t="s">
        <v>18</v>
      </c>
      <c r="L593" t="str">
        <f t="shared" si="9"/>
        <v>Z</v>
      </c>
      <c r="M593" t="s">
        <v>3</v>
      </c>
      <c r="N593" t="s">
        <v>68</v>
      </c>
      <c r="O593" t="s">
        <v>1048</v>
      </c>
    </row>
    <row r="594" spans="1:15" x14ac:dyDescent="0.6">
      <c r="I594" s="2">
        <v>6</v>
      </c>
      <c r="J594">
        <v>6</v>
      </c>
      <c r="K594" t="s">
        <v>176</v>
      </c>
      <c r="L594" t="str">
        <f t="shared" si="9"/>
        <v>Z</v>
      </c>
      <c r="M594" t="s">
        <v>3</v>
      </c>
      <c r="N594" t="s">
        <v>73</v>
      </c>
      <c r="O594" t="s">
        <v>1049</v>
      </c>
    </row>
    <row r="595" spans="1:15" x14ac:dyDescent="0.6">
      <c r="A595" t="s">
        <v>310</v>
      </c>
      <c r="B595" t="s">
        <v>311</v>
      </c>
      <c r="C595" t="s">
        <v>55</v>
      </c>
      <c r="D595" t="str">
        <f>IF(E595&gt;F595,"승",IF(E595&lt;F595,"패"))</f>
        <v>승</v>
      </c>
      <c r="E595">
        <f>COUNTIF(M595:M599,"승")</f>
        <v>4</v>
      </c>
      <c r="F595">
        <f>COUNTA(M595:M599)-E595</f>
        <v>1</v>
      </c>
      <c r="G595" s="1">
        <f>E595/(E595+F595)</f>
        <v>0.8</v>
      </c>
      <c r="H595" t="s">
        <v>276</v>
      </c>
      <c r="I595" s="2">
        <v>1</v>
      </c>
      <c r="J595" t="s">
        <v>559</v>
      </c>
      <c r="K595" t="s">
        <v>208</v>
      </c>
      <c r="L595" t="str">
        <f t="shared" si="9"/>
        <v>P</v>
      </c>
      <c r="M595" t="s">
        <v>3</v>
      </c>
      <c r="N595" t="s">
        <v>178</v>
      </c>
      <c r="O595" t="s">
        <v>1050</v>
      </c>
    </row>
    <row r="596" spans="1:15" x14ac:dyDescent="0.6">
      <c r="I596" s="2">
        <v>2</v>
      </c>
      <c r="J596">
        <v>2</v>
      </c>
      <c r="K596" t="s">
        <v>8</v>
      </c>
      <c r="L596" t="str">
        <f t="shared" si="9"/>
        <v>P</v>
      </c>
      <c r="M596" t="s">
        <v>3</v>
      </c>
      <c r="N596" t="s">
        <v>312</v>
      </c>
      <c r="O596" t="s">
        <v>1051</v>
      </c>
    </row>
    <row r="597" spans="1:15" x14ac:dyDescent="0.6">
      <c r="I597" s="2">
        <v>3</v>
      </c>
      <c r="J597">
        <v>3</v>
      </c>
      <c r="K597" t="s">
        <v>18</v>
      </c>
      <c r="L597" t="str">
        <f t="shared" si="9"/>
        <v>Z</v>
      </c>
      <c r="M597" t="s">
        <v>4</v>
      </c>
      <c r="N597" t="s">
        <v>238</v>
      </c>
      <c r="O597" t="s">
        <v>1052</v>
      </c>
    </row>
    <row r="598" spans="1:15" x14ac:dyDescent="0.6">
      <c r="I598" s="2">
        <v>4</v>
      </c>
      <c r="J598">
        <v>4</v>
      </c>
      <c r="K598" t="s">
        <v>176</v>
      </c>
      <c r="L598" t="str">
        <f t="shared" si="9"/>
        <v>Z</v>
      </c>
      <c r="M598" t="s">
        <v>3</v>
      </c>
      <c r="N598" t="s">
        <v>41</v>
      </c>
      <c r="O598" t="s">
        <v>1053</v>
      </c>
    </row>
    <row r="599" spans="1:15" x14ac:dyDescent="0.6">
      <c r="I599" s="2">
        <v>5</v>
      </c>
      <c r="J599">
        <v>5</v>
      </c>
      <c r="K599" t="s">
        <v>281</v>
      </c>
      <c r="L599" t="str">
        <f t="shared" si="9"/>
        <v>P</v>
      </c>
      <c r="M599" t="s">
        <v>3</v>
      </c>
      <c r="N599" t="s">
        <v>96</v>
      </c>
      <c r="O599" t="s">
        <v>1054</v>
      </c>
    </row>
    <row r="600" spans="1:15" x14ac:dyDescent="0.6">
      <c r="A600" t="s">
        <v>313</v>
      </c>
      <c r="B600" t="s">
        <v>215</v>
      </c>
      <c r="C600" t="s">
        <v>55</v>
      </c>
      <c r="D600" t="str">
        <f>IF(E600&gt;F600,"승",IF(E600&lt;F600,"패"))</f>
        <v>승</v>
      </c>
      <c r="E600">
        <f>COUNTIF(M600:M605,"승")</f>
        <v>4</v>
      </c>
      <c r="F600">
        <f>COUNTA(M600:M605)-E600</f>
        <v>2</v>
      </c>
      <c r="G600" s="1">
        <f>E600/(E600+F600)</f>
        <v>0.66666666666666663</v>
      </c>
      <c r="H600" t="s">
        <v>276</v>
      </c>
      <c r="I600" s="2">
        <v>1</v>
      </c>
      <c r="J600" t="s">
        <v>559</v>
      </c>
      <c r="K600" t="s">
        <v>281</v>
      </c>
      <c r="L600" t="str">
        <f t="shared" si="9"/>
        <v>P</v>
      </c>
      <c r="M600" t="s">
        <v>3</v>
      </c>
      <c r="N600" t="s">
        <v>98</v>
      </c>
      <c r="O600" t="s">
        <v>1055</v>
      </c>
    </row>
    <row r="601" spans="1:15" x14ac:dyDescent="0.6">
      <c r="I601" s="2">
        <v>2</v>
      </c>
      <c r="J601">
        <v>2</v>
      </c>
      <c r="K601" t="s">
        <v>208</v>
      </c>
      <c r="L601" t="str">
        <f t="shared" si="9"/>
        <v>P</v>
      </c>
      <c r="M601" t="s">
        <v>3</v>
      </c>
      <c r="N601" t="s">
        <v>72</v>
      </c>
      <c r="O601" t="s">
        <v>1056</v>
      </c>
    </row>
    <row r="602" spans="1:15" x14ac:dyDescent="0.6">
      <c r="I602" s="2">
        <v>3</v>
      </c>
      <c r="J602">
        <v>3</v>
      </c>
      <c r="K602" t="s">
        <v>176</v>
      </c>
      <c r="L602" t="str">
        <f t="shared" si="9"/>
        <v>Z</v>
      </c>
      <c r="M602" t="s">
        <v>4</v>
      </c>
      <c r="N602" t="s">
        <v>218</v>
      </c>
      <c r="O602" t="s">
        <v>1057</v>
      </c>
    </row>
    <row r="603" spans="1:15" x14ac:dyDescent="0.6">
      <c r="I603" s="2">
        <v>4</v>
      </c>
      <c r="J603">
        <v>4</v>
      </c>
      <c r="K603" t="s">
        <v>133</v>
      </c>
      <c r="L603" t="str">
        <f t="shared" si="9"/>
        <v>P</v>
      </c>
      <c r="M603" t="s">
        <v>4</v>
      </c>
      <c r="N603" t="s">
        <v>165</v>
      </c>
      <c r="O603" t="s">
        <v>1058</v>
      </c>
    </row>
    <row r="604" spans="1:15" x14ac:dyDescent="0.6">
      <c r="I604" s="2">
        <v>5</v>
      </c>
      <c r="J604">
        <v>5</v>
      </c>
      <c r="K604" t="s">
        <v>145</v>
      </c>
      <c r="L604" t="str">
        <f t="shared" si="9"/>
        <v>P</v>
      </c>
      <c r="M604" t="s">
        <v>3</v>
      </c>
      <c r="N604" t="s">
        <v>314</v>
      </c>
      <c r="O604" t="s">
        <v>1059</v>
      </c>
    </row>
    <row r="605" spans="1:15" x14ac:dyDescent="0.6">
      <c r="I605" s="2">
        <v>6</v>
      </c>
      <c r="J605">
        <v>6</v>
      </c>
      <c r="K605" t="s">
        <v>283</v>
      </c>
      <c r="L605" t="str">
        <f t="shared" si="9"/>
        <v>Z</v>
      </c>
      <c r="M605" t="s">
        <v>3</v>
      </c>
      <c r="N605" t="s">
        <v>315</v>
      </c>
      <c r="O605" t="s">
        <v>1060</v>
      </c>
    </row>
    <row r="606" spans="1:15" x14ac:dyDescent="0.6">
      <c r="A606" t="s">
        <v>316</v>
      </c>
      <c r="B606" t="s">
        <v>100</v>
      </c>
      <c r="C606" t="s">
        <v>55</v>
      </c>
      <c r="D606" t="str">
        <f>IF(E606&gt;F606,"승",IF(E606&lt;F606,"패"))</f>
        <v>승</v>
      </c>
      <c r="E606">
        <f>COUNTIF(M606:M611,"승")</f>
        <v>4</v>
      </c>
      <c r="F606">
        <f>COUNTA(M606:M611)-E606</f>
        <v>2</v>
      </c>
      <c r="G606" s="1">
        <f>E606/(E606+F606)</f>
        <v>0.66666666666666663</v>
      </c>
      <c r="H606" t="s">
        <v>276</v>
      </c>
      <c r="I606" s="2">
        <v>1</v>
      </c>
      <c r="J606" t="s">
        <v>559</v>
      </c>
      <c r="K606" t="s">
        <v>283</v>
      </c>
      <c r="L606" t="str">
        <f t="shared" si="9"/>
        <v>Z</v>
      </c>
      <c r="M606" t="s">
        <v>3</v>
      </c>
      <c r="N606" t="s">
        <v>317</v>
      </c>
      <c r="O606" t="s">
        <v>1061</v>
      </c>
    </row>
    <row r="607" spans="1:15" x14ac:dyDescent="0.6">
      <c r="I607" s="2">
        <v>2</v>
      </c>
      <c r="J607">
        <v>2</v>
      </c>
      <c r="K607" t="s">
        <v>133</v>
      </c>
      <c r="L607" t="str">
        <f t="shared" si="9"/>
        <v>P</v>
      </c>
      <c r="M607" t="s">
        <v>4</v>
      </c>
      <c r="N607" t="s">
        <v>318</v>
      </c>
      <c r="O607" t="s">
        <v>1062</v>
      </c>
    </row>
    <row r="608" spans="1:15" x14ac:dyDescent="0.6">
      <c r="I608" s="2">
        <v>3</v>
      </c>
      <c r="J608">
        <v>3</v>
      </c>
      <c r="K608" t="s">
        <v>281</v>
      </c>
      <c r="L608" t="str">
        <f t="shared" si="9"/>
        <v>P</v>
      </c>
      <c r="M608" t="s">
        <v>3</v>
      </c>
      <c r="N608" t="s">
        <v>319</v>
      </c>
      <c r="O608" t="s">
        <v>1063</v>
      </c>
    </row>
    <row r="609" spans="1:15" x14ac:dyDescent="0.6">
      <c r="I609" s="2">
        <v>4</v>
      </c>
      <c r="J609">
        <v>4</v>
      </c>
      <c r="K609" t="s">
        <v>208</v>
      </c>
      <c r="L609" t="str">
        <f t="shared" si="9"/>
        <v>P</v>
      </c>
      <c r="M609" t="s">
        <v>3</v>
      </c>
      <c r="N609" t="s">
        <v>12</v>
      </c>
      <c r="O609" t="s">
        <v>1064</v>
      </c>
    </row>
    <row r="610" spans="1:15" x14ac:dyDescent="0.6">
      <c r="I610" s="2">
        <v>5</v>
      </c>
      <c r="J610">
        <v>5</v>
      </c>
      <c r="K610" t="s">
        <v>278</v>
      </c>
      <c r="L610" t="str">
        <f t="shared" si="9"/>
        <v>Z</v>
      </c>
      <c r="M610" t="s">
        <v>4</v>
      </c>
      <c r="N610" t="s">
        <v>76</v>
      </c>
      <c r="O610" t="s">
        <v>1065</v>
      </c>
    </row>
    <row r="611" spans="1:15" x14ac:dyDescent="0.6">
      <c r="I611" s="2">
        <v>6</v>
      </c>
      <c r="J611">
        <v>6</v>
      </c>
      <c r="K611" t="s">
        <v>8</v>
      </c>
      <c r="L611" t="str">
        <f t="shared" si="9"/>
        <v>P</v>
      </c>
      <c r="M611" t="s">
        <v>3</v>
      </c>
      <c r="N611" t="s">
        <v>86</v>
      </c>
      <c r="O611" t="s">
        <v>1066</v>
      </c>
    </row>
    <row r="612" spans="1:15" x14ac:dyDescent="0.6">
      <c r="A612" t="s">
        <v>320</v>
      </c>
      <c r="B612" t="s">
        <v>23</v>
      </c>
      <c r="C612" t="s">
        <v>171</v>
      </c>
      <c r="D612" t="str">
        <f>IF(E612&gt;F612,"승",IF(E612&lt;F612,"패"))</f>
        <v>승</v>
      </c>
      <c r="E612">
        <f>COUNTIF(M612:M624,"승")</f>
        <v>7</v>
      </c>
      <c r="F612">
        <f>COUNTA(M612:M624)-E612</f>
        <v>6</v>
      </c>
      <c r="G612" s="1">
        <f>E612/(E612+F612)</f>
        <v>0.53846153846153844</v>
      </c>
      <c r="I612" s="2">
        <v>1</v>
      </c>
      <c r="J612" t="s">
        <v>559</v>
      </c>
      <c r="K612" t="s">
        <v>37</v>
      </c>
      <c r="L612" t="str">
        <f t="shared" si="9"/>
        <v>Z</v>
      </c>
      <c r="M612" t="s">
        <v>3</v>
      </c>
      <c r="N612" t="s">
        <v>251</v>
      </c>
      <c r="O612" t="s">
        <v>1067</v>
      </c>
    </row>
    <row r="613" spans="1:15" x14ac:dyDescent="0.6">
      <c r="I613" s="2">
        <v>2</v>
      </c>
      <c r="J613">
        <v>2</v>
      </c>
      <c r="K613" t="s">
        <v>217</v>
      </c>
      <c r="L613" t="str">
        <f t="shared" si="9"/>
        <v>T</v>
      </c>
      <c r="M613" t="s">
        <v>4</v>
      </c>
      <c r="N613" t="s">
        <v>27</v>
      </c>
      <c r="O613" t="s">
        <v>1068</v>
      </c>
    </row>
    <row r="614" spans="1:15" x14ac:dyDescent="0.6">
      <c r="I614" s="2">
        <v>3</v>
      </c>
      <c r="J614">
        <v>3</v>
      </c>
      <c r="K614" t="s">
        <v>301</v>
      </c>
      <c r="L614" t="str">
        <f t="shared" si="9"/>
        <v>P</v>
      </c>
      <c r="M614" t="s">
        <v>3</v>
      </c>
      <c r="N614" t="s">
        <v>321</v>
      </c>
      <c r="O614" t="s">
        <v>1069</v>
      </c>
    </row>
    <row r="615" spans="1:15" x14ac:dyDescent="0.6">
      <c r="I615" s="2">
        <v>4</v>
      </c>
      <c r="J615">
        <v>4</v>
      </c>
      <c r="K615" t="s">
        <v>216</v>
      </c>
      <c r="L615" t="str">
        <f t="shared" si="9"/>
        <v>P</v>
      </c>
      <c r="M615" t="s">
        <v>4</v>
      </c>
      <c r="N615" t="s">
        <v>83</v>
      </c>
      <c r="O615" t="s">
        <v>1070</v>
      </c>
    </row>
    <row r="616" spans="1:15" x14ac:dyDescent="0.6">
      <c r="I616" s="2">
        <v>5</v>
      </c>
      <c r="J616">
        <v>5</v>
      </c>
      <c r="K616" t="s">
        <v>145</v>
      </c>
      <c r="L616" t="str">
        <f t="shared" si="9"/>
        <v>P</v>
      </c>
      <c r="M616" t="s">
        <v>3</v>
      </c>
      <c r="N616" t="s">
        <v>26</v>
      </c>
      <c r="O616" t="s">
        <v>1071</v>
      </c>
    </row>
    <row r="617" spans="1:15" x14ac:dyDescent="0.6">
      <c r="I617" s="2">
        <v>6</v>
      </c>
      <c r="J617">
        <v>6</v>
      </c>
      <c r="K617" t="s">
        <v>35</v>
      </c>
      <c r="L617" t="str">
        <f t="shared" si="9"/>
        <v>Z</v>
      </c>
      <c r="M617" t="s">
        <v>3</v>
      </c>
      <c r="N617" t="s">
        <v>24</v>
      </c>
      <c r="O617" t="s">
        <v>1072</v>
      </c>
    </row>
    <row r="618" spans="1:15" x14ac:dyDescent="0.6">
      <c r="I618" s="2">
        <v>7</v>
      </c>
      <c r="J618" t="s">
        <v>559</v>
      </c>
      <c r="K618" t="s">
        <v>37</v>
      </c>
      <c r="L618" t="str">
        <f t="shared" si="9"/>
        <v>Z</v>
      </c>
      <c r="M618" t="s">
        <v>4</v>
      </c>
      <c r="N618" t="s">
        <v>251</v>
      </c>
      <c r="O618" t="s">
        <v>1073</v>
      </c>
    </row>
    <row r="619" spans="1:15" x14ac:dyDescent="0.6">
      <c r="I619" s="2">
        <v>8</v>
      </c>
      <c r="J619">
        <v>2</v>
      </c>
      <c r="K619" t="s">
        <v>301</v>
      </c>
      <c r="L619" t="str">
        <f t="shared" si="9"/>
        <v>P</v>
      </c>
      <c r="M619" t="s">
        <v>3</v>
      </c>
      <c r="N619" t="s">
        <v>321</v>
      </c>
      <c r="O619" t="s">
        <v>1074</v>
      </c>
    </row>
    <row r="620" spans="1:15" x14ac:dyDescent="0.6">
      <c r="I620" s="2">
        <v>9</v>
      </c>
      <c r="J620">
        <v>3</v>
      </c>
      <c r="K620" t="s">
        <v>217</v>
      </c>
      <c r="L620" t="str">
        <f t="shared" si="9"/>
        <v>T</v>
      </c>
      <c r="M620" t="s">
        <v>4</v>
      </c>
      <c r="N620" t="s">
        <v>27</v>
      </c>
      <c r="O620" t="s">
        <v>1075</v>
      </c>
    </row>
    <row r="621" spans="1:15" x14ac:dyDescent="0.6">
      <c r="I621" s="2">
        <v>10</v>
      </c>
      <c r="J621">
        <v>4</v>
      </c>
      <c r="K621" t="s">
        <v>145</v>
      </c>
      <c r="L621" t="str">
        <f t="shared" si="9"/>
        <v>P</v>
      </c>
      <c r="M621" t="s">
        <v>3</v>
      </c>
      <c r="N621" t="s">
        <v>26</v>
      </c>
      <c r="O621" t="s">
        <v>1076</v>
      </c>
    </row>
    <row r="622" spans="1:15" x14ac:dyDescent="0.6">
      <c r="I622" s="2">
        <v>11</v>
      </c>
      <c r="J622">
        <v>5</v>
      </c>
      <c r="K622" t="s">
        <v>216</v>
      </c>
      <c r="L622" t="str">
        <f t="shared" si="9"/>
        <v>P</v>
      </c>
      <c r="M622" t="s">
        <v>4</v>
      </c>
      <c r="N622" t="s">
        <v>83</v>
      </c>
      <c r="O622" t="s">
        <v>1077</v>
      </c>
    </row>
    <row r="623" spans="1:15" x14ac:dyDescent="0.6">
      <c r="I623" s="2">
        <v>12</v>
      </c>
      <c r="J623">
        <v>6</v>
      </c>
      <c r="K623" t="s">
        <v>35</v>
      </c>
      <c r="L623" t="str">
        <f t="shared" si="9"/>
        <v>Z</v>
      </c>
      <c r="M623" t="s">
        <v>4</v>
      </c>
      <c r="N623" t="s">
        <v>24</v>
      </c>
      <c r="O623" t="s">
        <v>1078</v>
      </c>
    </row>
    <row r="624" spans="1:15" x14ac:dyDescent="0.6">
      <c r="I624" s="2">
        <v>13</v>
      </c>
      <c r="J624" t="s">
        <v>562</v>
      </c>
      <c r="K624" t="s">
        <v>217</v>
      </c>
      <c r="L624" t="str">
        <f t="shared" si="9"/>
        <v>T</v>
      </c>
      <c r="M624" t="s">
        <v>3</v>
      </c>
      <c r="N624" t="s">
        <v>27</v>
      </c>
      <c r="O624" t="s">
        <v>1079</v>
      </c>
    </row>
    <row r="625" spans="1:15" x14ac:dyDescent="0.6">
      <c r="A625" t="s">
        <v>322</v>
      </c>
      <c r="B625" t="s">
        <v>131</v>
      </c>
      <c r="C625" t="s">
        <v>55</v>
      </c>
      <c r="D625" t="str">
        <f>IF(E625&gt;F625,"승",IF(E625&lt;F625,"패"))</f>
        <v>패</v>
      </c>
      <c r="E625">
        <f>COUNTIF(M625:M628,"승")</f>
        <v>0</v>
      </c>
      <c r="F625">
        <f>COUNTA(M625:M628)-E625</f>
        <v>4</v>
      </c>
      <c r="G625" s="1">
        <f>E625/(E625+F625)</f>
        <v>0</v>
      </c>
      <c r="H625" t="s">
        <v>276</v>
      </c>
      <c r="I625" s="2">
        <v>1</v>
      </c>
      <c r="J625" t="s">
        <v>559</v>
      </c>
      <c r="K625" t="s">
        <v>281</v>
      </c>
      <c r="L625" t="str">
        <f t="shared" si="9"/>
        <v>P</v>
      </c>
      <c r="M625" t="s">
        <v>4</v>
      </c>
      <c r="N625" t="s">
        <v>222</v>
      </c>
      <c r="O625" t="s">
        <v>1080</v>
      </c>
    </row>
    <row r="626" spans="1:15" x14ac:dyDescent="0.6">
      <c r="I626" s="2">
        <v>2</v>
      </c>
      <c r="J626">
        <v>2</v>
      </c>
      <c r="K626" t="s">
        <v>283</v>
      </c>
      <c r="L626" t="str">
        <f t="shared" si="9"/>
        <v>Z</v>
      </c>
      <c r="M626" t="s">
        <v>4</v>
      </c>
      <c r="N626" t="s">
        <v>323</v>
      </c>
      <c r="O626" t="s">
        <v>1081</v>
      </c>
    </row>
    <row r="627" spans="1:15" x14ac:dyDescent="0.6">
      <c r="I627" s="2">
        <v>3</v>
      </c>
      <c r="J627">
        <v>3</v>
      </c>
      <c r="K627" t="s">
        <v>18</v>
      </c>
      <c r="L627" t="str">
        <f t="shared" si="9"/>
        <v>Z</v>
      </c>
      <c r="M627" t="s">
        <v>4</v>
      </c>
      <c r="N627" t="s">
        <v>135</v>
      </c>
      <c r="O627" t="s">
        <v>1082</v>
      </c>
    </row>
    <row r="628" spans="1:15" x14ac:dyDescent="0.6">
      <c r="I628" s="2">
        <v>4</v>
      </c>
      <c r="J628">
        <v>4</v>
      </c>
      <c r="K628" t="s">
        <v>8</v>
      </c>
      <c r="L628" t="str">
        <f t="shared" si="9"/>
        <v>P</v>
      </c>
      <c r="M628" t="s">
        <v>4</v>
      </c>
      <c r="N628" t="s">
        <v>206</v>
      </c>
      <c r="O628" t="s">
        <v>1083</v>
      </c>
    </row>
    <row r="629" spans="1:15" x14ac:dyDescent="0.6">
      <c r="A629" t="s">
        <v>324</v>
      </c>
      <c r="B629" t="s">
        <v>187</v>
      </c>
      <c r="C629" t="s">
        <v>55</v>
      </c>
      <c r="D629" t="str">
        <f>IF(E629&gt;F629,"승",IF(E629&lt;F629,"패"))</f>
        <v>패</v>
      </c>
      <c r="E629">
        <f>COUNTIF(M629:M632,"승")</f>
        <v>0</v>
      </c>
      <c r="F629">
        <f>COUNTA(M629:M632)-E629</f>
        <v>4</v>
      </c>
      <c r="G629" s="1">
        <f>E629/(E629+F629)</f>
        <v>0</v>
      </c>
      <c r="H629" t="s">
        <v>276</v>
      </c>
      <c r="I629" s="2">
        <v>1</v>
      </c>
      <c r="J629" t="s">
        <v>559</v>
      </c>
      <c r="K629" t="s">
        <v>216</v>
      </c>
      <c r="L629" t="str">
        <f t="shared" si="9"/>
        <v>P</v>
      </c>
      <c r="M629" t="s">
        <v>4</v>
      </c>
      <c r="N629" t="s">
        <v>128</v>
      </c>
      <c r="O629" t="s">
        <v>1084</v>
      </c>
    </row>
    <row r="630" spans="1:15" x14ac:dyDescent="0.6">
      <c r="I630" s="2">
        <v>2</v>
      </c>
      <c r="J630">
        <v>2</v>
      </c>
      <c r="K630" t="s">
        <v>177</v>
      </c>
      <c r="L630" t="str">
        <f t="shared" si="9"/>
        <v>T</v>
      </c>
      <c r="M630" t="s">
        <v>4</v>
      </c>
      <c r="N630" t="s">
        <v>28</v>
      </c>
      <c r="O630" t="s">
        <v>1085</v>
      </c>
    </row>
    <row r="631" spans="1:15" x14ac:dyDescent="0.6">
      <c r="I631" s="2">
        <v>3</v>
      </c>
      <c r="J631">
        <v>3</v>
      </c>
      <c r="K631" t="s">
        <v>208</v>
      </c>
      <c r="L631" t="str">
        <f t="shared" si="9"/>
        <v>P</v>
      </c>
      <c r="M631" t="s">
        <v>4</v>
      </c>
      <c r="N631" t="s">
        <v>188</v>
      </c>
      <c r="O631" t="s">
        <v>1086</v>
      </c>
    </row>
    <row r="632" spans="1:15" x14ac:dyDescent="0.6">
      <c r="I632" s="2">
        <v>4</v>
      </c>
      <c r="J632">
        <v>4</v>
      </c>
      <c r="K632" t="s">
        <v>8</v>
      </c>
      <c r="L632" t="str">
        <f t="shared" si="9"/>
        <v>P</v>
      </c>
      <c r="M632" t="s">
        <v>4</v>
      </c>
      <c r="N632" t="s">
        <v>259</v>
      </c>
      <c r="O632" t="s">
        <v>1087</v>
      </c>
    </row>
    <row r="633" spans="1:15" x14ac:dyDescent="0.6">
      <c r="A633" t="s">
        <v>325</v>
      </c>
      <c r="B633" t="s">
        <v>131</v>
      </c>
      <c r="C633" t="s">
        <v>94</v>
      </c>
      <c r="D633" t="str">
        <f>IF(E633&gt;F633,"승",IF(E633&lt;F633,"패"))</f>
        <v>승</v>
      </c>
      <c r="E633">
        <f>COUNTIF(M633:M641,"승")</f>
        <v>5</v>
      </c>
      <c r="F633">
        <f>COUNTA(M633:M641)-E633</f>
        <v>4</v>
      </c>
      <c r="G633" s="1">
        <f>E633/(E633+F633)</f>
        <v>0.55555555555555558</v>
      </c>
      <c r="H633" s="1" t="s">
        <v>192</v>
      </c>
      <c r="I633" s="2">
        <v>1</v>
      </c>
      <c r="J633" t="s">
        <v>559</v>
      </c>
      <c r="K633" t="s">
        <v>177</v>
      </c>
      <c r="L633" t="str">
        <f t="shared" si="9"/>
        <v>T</v>
      </c>
      <c r="M633" t="s">
        <v>3</v>
      </c>
      <c r="N633" t="s">
        <v>20</v>
      </c>
      <c r="O633" t="s">
        <v>1088</v>
      </c>
    </row>
    <row r="634" spans="1:15" x14ac:dyDescent="0.6">
      <c r="I634" s="2">
        <v>2</v>
      </c>
      <c r="J634">
        <v>2</v>
      </c>
      <c r="K634" t="s">
        <v>18</v>
      </c>
      <c r="L634" t="str">
        <f t="shared" si="9"/>
        <v>Z</v>
      </c>
      <c r="M634" t="s">
        <v>4</v>
      </c>
      <c r="N634" t="s">
        <v>135</v>
      </c>
      <c r="O634" t="s">
        <v>1089</v>
      </c>
    </row>
    <row r="635" spans="1:15" x14ac:dyDescent="0.6">
      <c r="I635" s="2">
        <v>3</v>
      </c>
      <c r="J635">
        <v>3</v>
      </c>
      <c r="K635" t="s">
        <v>8</v>
      </c>
      <c r="L635" t="str">
        <f t="shared" si="9"/>
        <v>P</v>
      </c>
      <c r="M635" t="s">
        <v>3</v>
      </c>
      <c r="N635" t="s">
        <v>206</v>
      </c>
      <c r="O635" t="s">
        <v>1090</v>
      </c>
    </row>
    <row r="636" spans="1:15" x14ac:dyDescent="0.6">
      <c r="I636" s="2">
        <v>4</v>
      </c>
      <c r="J636">
        <v>4</v>
      </c>
      <c r="K636" t="s">
        <v>216</v>
      </c>
      <c r="L636" t="str">
        <f t="shared" si="9"/>
        <v>P</v>
      </c>
      <c r="M636" t="s">
        <v>3</v>
      </c>
      <c r="N636" t="s">
        <v>221</v>
      </c>
      <c r="O636" t="s">
        <v>1091</v>
      </c>
    </row>
    <row r="637" spans="1:15" x14ac:dyDescent="0.6">
      <c r="I637" s="2">
        <v>5</v>
      </c>
      <c r="J637" t="s">
        <v>559</v>
      </c>
      <c r="K637" t="s">
        <v>208</v>
      </c>
      <c r="L637" t="str">
        <f t="shared" si="9"/>
        <v>P</v>
      </c>
      <c r="M637" t="s">
        <v>4</v>
      </c>
      <c r="N637" t="s">
        <v>91</v>
      </c>
      <c r="O637" t="s">
        <v>1092</v>
      </c>
    </row>
    <row r="638" spans="1:15" x14ac:dyDescent="0.6">
      <c r="I638" s="2">
        <v>6</v>
      </c>
      <c r="J638">
        <v>2</v>
      </c>
      <c r="K638" t="s">
        <v>216</v>
      </c>
      <c r="L638" t="str">
        <f t="shared" si="9"/>
        <v>P</v>
      </c>
      <c r="M638" t="s">
        <v>3</v>
      </c>
      <c r="N638" t="s">
        <v>221</v>
      </c>
      <c r="O638" t="s">
        <v>1093</v>
      </c>
    </row>
    <row r="639" spans="1:15" x14ac:dyDescent="0.6">
      <c r="I639" s="2">
        <v>7</v>
      </c>
      <c r="J639">
        <v>3</v>
      </c>
      <c r="K639" t="s">
        <v>8</v>
      </c>
      <c r="L639" t="str">
        <f t="shared" si="9"/>
        <v>P</v>
      </c>
      <c r="M639" t="s">
        <v>4</v>
      </c>
      <c r="N639" t="s">
        <v>206</v>
      </c>
      <c r="O639" t="s">
        <v>1094</v>
      </c>
    </row>
    <row r="640" spans="1:15" x14ac:dyDescent="0.6">
      <c r="I640" s="2">
        <v>8</v>
      </c>
      <c r="J640">
        <v>4</v>
      </c>
      <c r="K640" t="s">
        <v>18</v>
      </c>
      <c r="L640" t="str">
        <f t="shared" si="9"/>
        <v>Z</v>
      </c>
      <c r="M640" t="s">
        <v>4</v>
      </c>
      <c r="N640" t="s">
        <v>135</v>
      </c>
      <c r="O640" t="s">
        <v>1095</v>
      </c>
    </row>
    <row r="641" spans="1:15" x14ac:dyDescent="0.6">
      <c r="I641" s="2">
        <v>9</v>
      </c>
      <c r="J641" t="s">
        <v>562</v>
      </c>
      <c r="K641" t="s">
        <v>177</v>
      </c>
      <c r="L641" t="str">
        <f t="shared" si="9"/>
        <v>T</v>
      </c>
      <c r="M641" t="s">
        <v>3</v>
      </c>
      <c r="N641" t="s">
        <v>20</v>
      </c>
      <c r="O641" t="s">
        <v>1096</v>
      </c>
    </row>
    <row r="642" spans="1:15" x14ac:dyDescent="0.6">
      <c r="A642" t="s">
        <v>326</v>
      </c>
      <c r="B642" t="s">
        <v>117</v>
      </c>
      <c r="C642" t="s">
        <v>94</v>
      </c>
      <c r="D642" t="s">
        <v>3</v>
      </c>
      <c r="E642">
        <f>COUNTIF(M642:M650,"승")</f>
        <v>4</v>
      </c>
      <c r="F642">
        <f>COUNTA(M642:M650)-E642</f>
        <v>5</v>
      </c>
      <c r="G642" s="1">
        <f>E642/(E642+F642)</f>
        <v>0.44444444444444442</v>
      </c>
      <c r="H642" s="1" t="s">
        <v>192</v>
      </c>
      <c r="I642" s="2">
        <v>1</v>
      </c>
      <c r="J642" t="s">
        <v>559</v>
      </c>
      <c r="K642" t="s">
        <v>278</v>
      </c>
      <c r="L642" t="str">
        <f t="shared" si="9"/>
        <v>Z</v>
      </c>
      <c r="M642" t="s">
        <v>4</v>
      </c>
      <c r="N642" t="s">
        <v>120</v>
      </c>
      <c r="O642" t="s">
        <v>1097</v>
      </c>
    </row>
    <row r="643" spans="1:15" x14ac:dyDescent="0.6">
      <c r="I643" s="2">
        <v>2</v>
      </c>
      <c r="J643">
        <v>2</v>
      </c>
      <c r="K643" t="s">
        <v>133</v>
      </c>
      <c r="L643" t="str">
        <f t="shared" si="9"/>
        <v>P</v>
      </c>
      <c r="M643" t="s">
        <v>3</v>
      </c>
      <c r="N643" t="s">
        <v>150</v>
      </c>
      <c r="O643" t="s">
        <v>1098</v>
      </c>
    </row>
    <row r="644" spans="1:15" x14ac:dyDescent="0.6">
      <c r="I644" s="2">
        <v>3</v>
      </c>
      <c r="J644">
        <v>3</v>
      </c>
      <c r="K644" t="s">
        <v>281</v>
      </c>
      <c r="L644" t="str">
        <f t="shared" ref="L644:L707" si="10">INDEX($R$2:$R$99,MATCH(K644,$Q$2:$Q$99,0))</f>
        <v>P</v>
      </c>
      <c r="M644" t="s">
        <v>4</v>
      </c>
      <c r="N644" t="s">
        <v>39</v>
      </c>
      <c r="O644" t="s">
        <v>1099</v>
      </c>
    </row>
    <row r="645" spans="1:15" x14ac:dyDescent="0.6">
      <c r="I645" s="2">
        <v>4</v>
      </c>
      <c r="J645">
        <v>4</v>
      </c>
      <c r="K645" t="s">
        <v>8</v>
      </c>
      <c r="L645" t="str">
        <f t="shared" si="10"/>
        <v>P</v>
      </c>
      <c r="M645" t="s">
        <v>3</v>
      </c>
      <c r="N645" t="s">
        <v>149</v>
      </c>
      <c r="O645" t="s">
        <v>1100</v>
      </c>
    </row>
    <row r="646" spans="1:15" x14ac:dyDescent="0.6">
      <c r="I646" s="2">
        <v>5</v>
      </c>
      <c r="J646">
        <v>5</v>
      </c>
      <c r="K646" t="s">
        <v>208</v>
      </c>
      <c r="L646" t="str">
        <f t="shared" si="10"/>
        <v>P</v>
      </c>
      <c r="M646" t="s">
        <v>3</v>
      </c>
      <c r="N646" t="s">
        <v>182</v>
      </c>
      <c r="O646" t="s">
        <v>1101</v>
      </c>
    </row>
    <row r="647" spans="1:15" x14ac:dyDescent="0.6">
      <c r="I647" s="2">
        <v>6</v>
      </c>
      <c r="J647" t="s">
        <v>559</v>
      </c>
      <c r="K647" t="s">
        <v>8</v>
      </c>
      <c r="L647" t="str">
        <f t="shared" si="10"/>
        <v>P</v>
      </c>
      <c r="M647" t="s">
        <v>4</v>
      </c>
      <c r="N647" t="s">
        <v>149</v>
      </c>
      <c r="O647" t="s">
        <v>1102</v>
      </c>
    </row>
    <row r="648" spans="1:15" x14ac:dyDescent="0.6">
      <c r="I648" s="2">
        <v>7</v>
      </c>
      <c r="J648">
        <v>2</v>
      </c>
      <c r="K648" t="s">
        <v>281</v>
      </c>
      <c r="L648" t="str">
        <f t="shared" si="10"/>
        <v>P</v>
      </c>
      <c r="M648" t="s">
        <v>4</v>
      </c>
      <c r="N648" t="s">
        <v>39</v>
      </c>
      <c r="O648" t="s">
        <v>1103</v>
      </c>
    </row>
    <row r="649" spans="1:15" x14ac:dyDescent="0.6">
      <c r="I649" s="2">
        <v>8</v>
      </c>
      <c r="J649">
        <v>3</v>
      </c>
      <c r="K649" t="s">
        <v>278</v>
      </c>
      <c r="L649" t="str">
        <f t="shared" si="10"/>
        <v>Z</v>
      </c>
      <c r="M649" t="s">
        <v>4</v>
      </c>
      <c r="N649" t="s">
        <v>120</v>
      </c>
      <c r="O649" t="s">
        <v>1104</v>
      </c>
    </row>
    <row r="650" spans="1:15" x14ac:dyDescent="0.6">
      <c r="I650" s="2">
        <v>9</v>
      </c>
      <c r="J650" t="s">
        <v>562</v>
      </c>
      <c r="K650" t="s">
        <v>8</v>
      </c>
      <c r="L650" t="str">
        <f t="shared" si="10"/>
        <v>P</v>
      </c>
      <c r="M650" t="s">
        <v>3</v>
      </c>
      <c r="N650" t="s">
        <v>149</v>
      </c>
      <c r="O650" t="s">
        <v>1105</v>
      </c>
    </row>
    <row r="651" spans="1:15" x14ac:dyDescent="0.6">
      <c r="A651" t="s">
        <v>327</v>
      </c>
      <c r="B651" t="s">
        <v>65</v>
      </c>
      <c r="C651" t="s">
        <v>55</v>
      </c>
      <c r="D651" t="str">
        <f>IF(E651&gt;F651,"승",IF(E651&lt;F651,"패"))</f>
        <v>승</v>
      </c>
      <c r="E651">
        <f>COUNTIF(M651:M657,"승")</f>
        <v>4</v>
      </c>
      <c r="F651">
        <f>COUNTA(M651:M657)-E651</f>
        <v>3</v>
      </c>
      <c r="G651" s="1">
        <f>E651/(E651+F651)</f>
        <v>0.5714285714285714</v>
      </c>
      <c r="H651" t="s">
        <v>276</v>
      </c>
      <c r="I651" s="2">
        <v>1</v>
      </c>
      <c r="J651" t="s">
        <v>559</v>
      </c>
      <c r="K651" t="s">
        <v>176</v>
      </c>
      <c r="L651" t="str">
        <f t="shared" si="10"/>
        <v>Z</v>
      </c>
      <c r="M651" t="s">
        <v>4</v>
      </c>
      <c r="N651" t="s">
        <v>200</v>
      </c>
      <c r="O651" t="s">
        <v>1106</v>
      </c>
    </row>
    <row r="652" spans="1:15" x14ac:dyDescent="0.6">
      <c r="I652" s="2">
        <v>2</v>
      </c>
      <c r="J652">
        <v>2</v>
      </c>
      <c r="K652" t="s">
        <v>208</v>
      </c>
      <c r="L652" t="str">
        <f t="shared" si="10"/>
        <v>P</v>
      </c>
      <c r="M652" t="s">
        <v>3</v>
      </c>
      <c r="N652" t="s">
        <v>201</v>
      </c>
      <c r="O652" t="s">
        <v>1107</v>
      </c>
    </row>
    <row r="653" spans="1:15" x14ac:dyDescent="0.6">
      <c r="I653" s="2">
        <v>3</v>
      </c>
      <c r="J653">
        <v>3</v>
      </c>
      <c r="K653" t="s">
        <v>281</v>
      </c>
      <c r="L653" t="str">
        <f t="shared" si="10"/>
        <v>P</v>
      </c>
      <c r="M653" t="s">
        <v>3</v>
      </c>
      <c r="N653" t="s">
        <v>328</v>
      </c>
      <c r="O653" t="s">
        <v>1108</v>
      </c>
    </row>
    <row r="654" spans="1:15" x14ac:dyDescent="0.6">
      <c r="I654" s="2">
        <v>4</v>
      </c>
      <c r="J654">
        <v>4</v>
      </c>
      <c r="K654" t="s">
        <v>177</v>
      </c>
      <c r="L654" t="str">
        <f t="shared" si="10"/>
        <v>T</v>
      </c>
      <c r="M654" t="s">
        <v>4</v>
      </c>
      <c r="N654" t="s">
        <v>77</v>
      </c>
      <c r="O654" t="s">
        <v>1109</v>
      </c>
    </row>
    <row r="655" spans="1:15" x14ac:dyDescent="0.6">
      <c r="I655" s="2">
        <v>5</v>
      </c>
      <c r="J655">
        <v>5</v>
      </c>
      <c r="K655" t="s">
        <v>217</v>
      </c>
      <c r="L655" t="str">
        <f t="shared" si="10"/>
        <v>T</v>
      </c>
      <c r="M655" t="s">
        <v>3</v>
      </c>
      <c r="N655" t="s">
        <v>184</v>
      </c>
      <c r="O655" t="s">
        <v>1110</v>
      </c>
    </row>
    <row r="656" spans="1:15" x14ac:dyDescent="0.6">
      <c r="I656" s="2">
        <v>6</v>
      </c>
      <c r="J656">
        <v>6</v>
      </c>
      <c r="K656" t="s">
        <v>278</v>
      </c>
      <c r="L656" t="str">
        <f t="shared" si="10"/>
        <v>Z</v>
      </c>
      <c r="M656" t="s">
        <v>4</v>
      </c>
      <c r="N656" t="s">
        <v>78</v>
      </c>
      <c r="O656" t="s">
        <v>1111</v>
      </c>
    </row>
    <row r="657" spans="1:15" x14ac:dyDescent="0.6">
      <c r="I657" s="2">
        <v>7</v>
      </c>
      <c r="J657">
        <v>7</v>
      </c>
      <c r="K657" t="s">
        <v>176</v>
      </c>
      <c r="L657" t="str">
        <f t="shared" si="10"/>
        <v>Z</v>
      </c>
      <c r="M657" t="s">
        <v>3</v>
      </c>
      <c r="N657" t="s">
        <v>200</v>
      </c>
      <c r="O657" t="s">
        <v>1112</v>
      </c>
    </row>
    <row r="658" spans="1:15" x14ac:dyDescent="0.6">
      <c r="A658" t="s">
        <v>329</v>
      </c>
      <c r="B658" t="s">
        <v>93</v>
      </c>
      <c r="C658" t="s">
        <v>94</v>
      </c>
      <c r="D658" t="str">
        <f>IF(E658&gt;F658,"승",IF(E658&lt;F658,"패"))</f>
        <v>승</v>
      </c>
      <c r="E658">
        <f>COUNTIF(M658:M667,"승")</f>
        <v>6</v>
      </c>
      <c r="F658">
        <f>COUNTA(M658:M667)-E658</f>
        <v>4</v>
      </c>
      <c r="G658" s="1">
        <f>E658/(E658+F658)</f>
        <v>0.6</v>
      </c>
      <c r="H658" s="1" t="s">
        <v>192</v>
      </c>
      <c r="I658" s="2">
        <v>1</v>
      </c>
      <c r="J658" t="s">
        <v>559</v>
      </c>
      <c r="K658" t="s">
        <v>283</v>
      </c>
      <c r="L658" t="str">
        <f t="shared" si="10"/>
        <v>Z</v>
      </c>
      <c r="M658" t="s">
        <v>3</v>
      </c>
      <c r="N658" t="s">
        <v>309</v>
      </c>
      <c r="O658" t="s">
        <v>1137</v>
      </c>
    </row>
    <row r="659" spans="1:15" x14ac:dyDescent="0.6">
      <c r="I659" s="2">
        <v>2</v>
      </c>
      <c r="J659">
        <v>2</v>
      </c>
      <c r="K659" t="s">
        <v>281</v>
      </c>
      <c r="L659" t="str">
        <f t="shared" si="10"/>
        <v>P</v>
      </c>
      <c r="M659" t="s">
        <v>4</v>
      </c>
      <c r="N659" t="s">
        <v>199</v>
      </c>
      <c r="O659" t="s">
        <v>1138</v>
      </c>
    </row>
    <row r="660" spans="1:15" x14ac:dyDescent="0.6">
      <c r="I660" s="2">
        <v>3</v>
      </c>
      <c r="J660">
        <v>3</v>
      </c>
      <c r="K660" t="s">
        <v>176</v>
      </c>
      <c r="L660" t="str">
        <f t="shared" si="10"/>
        <v>Z</v>
      </c>
      <c r="M660" t="s">
        <v>4</v>
      </c>
      <c r="N660" t="s">
        <v>73</v>
      </c>
      <c r="O660" t="s">
        <v>1139</v>
      </c>
    </row>
    <row r="661" spans="1:15" x14ac:dyDescent="0.6">
      <c r="I661" s="2">
        <v>4</v>
      </c>
      <c r="J661">
        <v>4</v>
      </c>
      <c r="K661" t="s">
        <v>208</v>
      </c>
      <c r="L661" t="str">
        <f t="shared" si="10"/>
        <v>P</v>
      </c>
      <c r="M661" t="s">
        <v>3</v>
      </c>
      <c r="N661" t="s">
        <v>102</v>
      </c>
      <c r="O661" t="s">
        <v>1140</v>
      </c>
    </row>
    <row r="662" spans="1:15" x14ac:dyDescent="0.6">
      <c r="I662" s="2">
        <v>5</v>
      </c>
      <c r="J662">
        <v>5</v>
      </c>
      <c r="K662" t="s">
        <v>177</v>
      </c>
      <c r="L662" t="str">
        <f t="shared" si="10"/>
        <v>T</v>
      </c>
      <c r="M662" t="s">
        <v>4</v>
      </c>
      <c r="N662" t="s">
        <v>68</v>
      </c>
      <c r="O662" t="s">
        <v>1141</v>
      </c>
    </row>
    <row r="663" spans="1:15" x14ac:dyDescent="0.6">
      <c r="I663" s="2">
        <v>6</v>
      </c>
      <c r="J663" t="s">
        <v>559</v>
      </c>
      <c r="K663" t="s">
        <v>177</v>
      </c>
      <c r="L663" t="str">
        <f t="shared" si="10"/>
        <v>T</v>
      </c>
      <c r="M663" t="s">
        <v>3</v>
      </c>
      <c r="N663" t="s">
        <v>68</v>
      </c>
      <c r="O663" t="s">
        <v>1142</v>
      </c>
    </row>
    <row r="664" spans="1:15" x14ac:dyDescent="0.6">
      <c r="I664" s="2">
        <v>7</v>
      </c>
      <c r="J664">
        <v>2</v>
      </c>
      <c r="K664" t="s">
        <v>283</v>
      </c>
      <c r="L664" t="str">
        <f t="shared" si="10"/>
        <v>Z</v>
      </c>
      <c r="M664" t="s">
        <v>3</v>
      </c>
      <c r="N664" t="s">
        <v>309</v>
      </c>
      <c r="O664" t="s">
        <v>1143</v>
      </c>
    </row>
    <row r="665" spans="1:15" x14ac:dyDescent="0.6">
      <c r="I665" s="2">
        <v>8</v>
      </c>
      <c r="J665">
        <v>3</v>
      </c>
      <c r="K665" t="s">
        <v>208</v>
      </c>
      <c r="L665" t="str">
        <f t="shared" si="10"/>
        <v>P</v>
      </c>
      <c r="M665" t="s">
        <v>4</v>
      </c>
      <c r="N665" t="s">
        <v>102</v>
      </c>
      <c r="O665" t="s">
        <v>1144</v>
      </c>
    </row>
    <row r="666" spans="1:15" x14ac:dyDescent="0.6">
      <c r="I666" s="2">
        <v>9</v>
      </c>
      <c r="J666">
        <v>4</v>
      </c>
      <c r="K666" t="s">
        <v>176</v>
      </c>
      <c r="L666" t="str">
        <f t="shared" si="10"/>
        <v>Z</v>
      </c>
      <c r="M666" t="s">
        <v>3</v>
      </c>
      <c r="N666" t="s">
        <v>73</v>
      </c>
      <c r="O666" t="s">
        <v>1145</v>
      </c>
    </row>
    <row r="667" spans="1:15" x14ac:dyDescent="0.6">
      <c r="I667" s="2">
        <v>10</v>
      </c>
      <c r="J667" t="s">
        <v>562</v>
      </c>
      <c r="K667" t="s">
        <v>283</v>
      </c>
      <c r="L667" t="str">
        <f t="shared" si="10"/>
        <v>Z</v>
      </c>
      <c r="M667" t="s">
        <v>3</v>
      </c>
      <c r="N667" t="s">
        <v>309</v>
      </c>
      <c r="O667" t="s">
        <v>1146</v>
      </c>
    </row>
    <row r="668" spans="1:15" x14ac:dyDescent="0.6">
      <c r="A668" t="s">
        <v>330</v>
      </c>
      <c r="B668" t="s">
        <v>174</v>
      </c>
      <c r="C668" t="s">
        <v>94</v>
      </c>
      <c r="D668" t="str">
        <f>IF(E668&gt;F668,"승",IF(E668&lt;F668,"패"))</f>
        <v>승</v>
      </c>
      <c r="E668">
        <f>COUNTIF(M668:M678,"승")</f>
        <v>6</v>
      </c>
      <c r="F668">
        <f>COUNTA(M668:M678)-E668</f>
        <v>5</v>
      </c>
      <c r="G668" s="1">
        <f>E668/(E668+F668)</f>
        <v>0.54545454545454541</v>
      </c>
      <c r="H668" s="1" t="s">
        <v>192</v>
      </c>
      <c r="I668" s="2">
        <v>1</v>
      </c>
      <c r="J668" t="s">
        <v>559</v>
      </c>
      <c r="K668" t="s">
        <v>133</v>
      </c>
      <c r="L668" t="str">
        <f t="shared" si="10"/>
        <v>P</v>
      </c>
      <c r="M668" t="s">
        <v>3</v>
      </c>
      <c r="N668" t="s">
        <v>331</v>
      </c>
      <c r="O668" t="s">
        <v>1147</v>
      </c>
    </row>
    <row r="669" spans="1:15" x14ac:dyDescent="0.6">
      <c r="I669" s="2">
        <v>2</v>
      </c>
      <c r="J669">
        <v>2</v>
      </c>
      <c r="K669" t="s">
        <v>283</v>
      </c>
      <c r="L669" t="str">
        <f t="shared" si="10"/>
        <v>Z</v>
      </c>
      <c r="M669" t="s">
        <v>3</v>
      </c>
      <c r="N669" t="s">
        <v>286</v>
      </c>
      <c r="O669" t="s">
        <v>1148</v>
      </c>
    </row>
    <row r="670" spans="1:15" x14ac:dyDescent="0.6">
      <c r="I670" s="2">
        <v>3</v>
      </c>
      <c r="J670">
        <v>3</v>
      </c>
      <c r="K670" t="s">
        <v>281</v>
      </c>
      <c r="L670" t="str">
        <f t="shared" si="10"/>
        <v>P</v>
      </c>
      <c r="M670" t="s">
        <v>4</v>
      </c>
      <c r="N670" t="s">
        <v>332</v>
      </c>
      <c r="O670" t="s">
        <v>1149</v>
      </c>
    </row>
    <row r="671" spans="1:15" x14ac:dyDescent="0.6">
      <c r="I671" s="2">
        <v>4</v>
      </c>
      <c r="J671">
        <v>4</v>
      </c>
      <c r="K671" t="s">
        <v>176</v>
      </c>
      <c r="L671" t="str">
        <f t="shared" si="10"/>
        <v>Z</v>
      </c>
      <c r="M671" t="s">
        <v>4</v>
      </c>
      <c r="N671" t="s">
        <v>292</v>
      </c>
      <c r="O671" t="s">
        <v>1150</v>
      </c>
    </row>
    <row r="672" spans="1:15" x14ac:dyDescent="0.6">
      <c r="I672" s="2">
        <v>5</v>
      </c>
      <c r="J672">
        <v>5</v>
      </c>
      <c r="K672" t="s">
        <v>177</v>
      </c>
      <c r="L672" t="str">
        <f t="shared" si="10"/>
        <v>T</v>
      </c>
      <c r="M672" t="s">
        <v>4</v>
      </c>
      <c r="N672" t="s">
        <v>333</v>
      </c>
      <c r="O672" t="s">
        <v>1151</v>
      </c>
    </row>
    <row r="673" spans="1:15" x14ac:dyDescent="0.6">
      <c r="I673" s="2">
        <v>6</v>
      </c>
      <c r="J673" t="s">
        <v>559</v>
      </c>
      <c r="K673" t="s">
        <v>283</v>
      </c>
      <c r="L673" t="str">
        <f t="shared" si="10"/>
        <v>Z</v>
      </c>
      <c r="M673" t="s">
        <v>4</v>
      </c>
      <c r="N673" t="s">
        <v>286</v>
      </c>
      <c r="O673" t="s">
        <v>1152</v>
      </c>
    </row>
    <row r="674" spans="1:15" x14ac:dyDescent="0.6">
      <c r="I674" s="2">
        <v>7</v>
      </c>
      <c r="J674">
        <v>2</v>
      </c>
      <c r="K674" t="s">
        <v>133</v>
      </c>
      <c r="L674" t="str">
        <f t="shared" si="10"/>
        <v>P</v>
      </c>
      <c r="M674" t="s">
        <v>3</v>
      </c>
      <c r="N674" t="s">
        <v>331</v>
      </c>
      <c r="O674" t="s">
        <v>1153</v>
      </c>
    </row>
    <row r="675" spans="1:15" x14ac:dyDescent="0.6">
      <c r="I675" s="2">
        <v>8</v>
      </c>
      <c r="J675">
        <v>3</v>
      </c>
      <c r="K675" t="s">
        <v>176</v>
      </c>
      <c r="L675" t="str">
        <f t="shared" si="10"/>
        <v>Z</v>
      </c>
      <c r="M675" t="s">
        <v>4</v>
      </c>
      <c r="N675" t="s">
        <v>292</v>
      </c>
      <c r="O675" t="s">
        <v>1154</v>
      </c>
    </row>
    <row r="676" spans="1:15" x14ac:dyDescent="0.6">
      <c r="I676" s="2">
        <v>9</v>
      </c>
      <c r="J676">
        <v>4</v>
      </c>
      <c r="K676" t="s">
        <v>177</v>
      </c>
      <c r="L676" t="str">
        <f t="shared" si="10"/>
        <v>T</v>
      </c>
      <c r="M676" t="s">
        <v>3</v>
      </c>
      <c r="N676" t="s">
        <v>333</v>
      </c>
      <c r="O676" t="s">
        <v>1155</v>
      </c>
    </row>
    <row r="677" spans="1:15" x14ac:dyDescent="0.6">
      <c r="I677" s="2">
        <v>10</v>
      </c>
      <c r="J677">
        <v>5</v>
      </c>
      <c r="K677" t="s">
        <v>281</v>
      </c>
      <c r="L677" t="str">
        <f t="shared" si="10"/>
        <v>P</v>
      </c>
      <c r="M677" t="s">
        <v>3</v>
      </c>
      <c r="N677" t="s">
        <v>332</v>
      </c>
      <c r="O677" t="s">
        <v>1156</v>
      </c>
    </row>
    <row r="678" spans="1:15" x14ac:dyDescent="0.6">
      <c r="I678" s="2">
        <v>11</v>
      </c>
      <c r="J678" t="s">
        <v>562</v>
      </c>
      <c r="K678" t="s">
        <v>283</v>
      </c>
      <c r="L678" t="str">
        <f t="shared" si="10"/>
        <v>Z</v>
      </c>
      <c r="M678" t="s">
        <v>3</v>
      </c>
      <c r="N678" t="s">
        <v>286</v>
      </c>
      <c r="O678" t="s">
        <v>1157</v>
      </c>
    </row>
    <row r="679" spans="1:15" x14ac:dyDescent="0.6">
      <c r="A679" t="s">
        <v>334</v>
      </c>
      <c r="B679" t="s">
        <v>100</v>
      </c>
      <c r="C679" t="s">
        <v>94</v>
      </c>
      <c r="D679" t="str">
        <f>IF(E679&gt;F679,"승",IF(E679&lt;F679,"패"))</f>
        <v>승</v>
      </c>
      <c r="E679">
        <f>COUNTIF(M679:M687,"승")</f>
        <v>6</v>
      </c>
      <c r="F679">
        <f>COUNTA(M679:M687)-E679</f>
        <v>3</v>
      </c>
      <c r="G679" s="1">
        <f>E679/(E679+F679)</f>
        <v>0.66666666666666663</v>
      </c>
      <c r="H679" s="1" t="s">
        <v>46</v>
      </c>
      <c r="I679" s="2">
        <v>1</v>
      </c>
      <c r="J679" t="s">
        <v>559</v>
      </c>
      <c r="K679" t="s">
        <v>18</v>
      </c>
      <c r="L679" t="str">
        <f t="shared" si="10"/>
        <v>Z</v>
      </c>
      <c r="M679" t="s">
        <v>4</v>
      </c>
      <c r="N679" t="s">
        <v>318</v>
      </c>
      <c r="O679" t="s">
        <v>1176</v>
      </c>
    </row>
    <row r="680" spans="1:15" x14ac:dyDescent="0.6">
      <c r="I680" s="2">
        <v>2</v>
      </c>
      <c r="J680">
        <v>2</v>
      </c>
      <c r="K680" t="s">
        <v>283</v>
      </c>
      <c r="L680" t="str">
        <f t="shared" si="10"/>
        <v>Z</v>
      </c>
      <c r="M680" t="s">
        <v>3</v>
      </c>
      <c r="N680" t="s">
        <v>317</v>
      </c>
      <c r="O680" t="s">
        <v>1177</v>
      </c>
    </row>
    <row r="681" spans="1:15" x14ac:dyDescent="0.6">
      <c r="I681" s="2">
        <v>3</v>
      </c>
      <c r="J681">
        <v>3</v>
      </c>
      <c r="K681" t="s">
        <v>281</v>
      </c>
      <c r="L681" t="str">
        <f t="shared" si="10"/>
        <v>P</v>
      </c>
      <c r="M681" t="s">
        <v>4</v>
      </c>
      <c r="N681" t="s">
        <v>284</v>
      </c>
      <c r="O681" t="s">
        <v>1178</v>
      </c>
    </row>
    <row r="682" spans="1:15" x14ac:dyDescent="0.6">
      <c r="I682" s="2">
        <v>4</v>
      </c>
      <c r="J682">
        <v>4</v>
      </c>
      <c r="K682" t="s">
        <v>208</v>
      </c>
      <c r="L682" t="str">
        <f t="shared" si="10"/>
        <v>P</v>
      </c>
      <c r="M682" t="s">
        <v>3</v>
      </c>
      <c r="N682" t="s">
        <v>12</v>
      </c>
      <c r="O682" t="s">
        <v>1179</v>
      </c>
    </row>
    <row r="683" spans="1:15" x14ac:dyDescent="0.6">
      <c r="I683" s="2">
        <v>5</v>
      </c>
      <c r="J683">
        <v>5</v>
      </c>
      <c r="K683" t="s">
        <v>8</v>
      </c>
      <c r="L683" t="str">
        <f t="shared" si="10"/>
        <v>P</v>
      </c>
      <c r="M683" t="s">
        <v>3</v>
      </c>
      <c r="N683" t="s">
        <v>76</v>
      </c>
      <c r="O683" t="s">
        <v>1180</v>
      </c>
    </row>
    <row r="684" spans="1:15" x14ac:dyDescent="0.6">
      <c r="I684" s="2">
        <v>6</v>
      </c>
      <c r="J684" t="s">
        <v>559</v>
      </c>
      <c r="K684" t="s">
        <v>8</v>
      </c>
      <c r="L684" t="str">
        <f t="shared" si="10"/>
        <v>P</v>
      </c>
      <c r="M684" t="s">
        <v>3</v>
      </c>
      <c r="N684" t="s">
        <v>76</v>
      </c>
      <c r="O684" t="s">
        <v>1181</v>
      </c>
    </row>
    <row r="685" spans="1:15" x14ac:dyDescent="0.6">
      <c r="I685" s="2">
        <v>7</v>
      </c>
      <c r="J685">
        <v>2</v>
      </c>
      <c r="K685" t="s">
        <v>208</v>
      </c>
      <c r="L685" t="str">
        <f t="shared" si="10"/>
        <v>P</v>
      </c>
      <c r="M685" t="s">
        <v>4</v>
      </c>
      <c r="N685" t="s">
        <v>12</v>
      </c>
      <c r="O685" t="s">
        <v>1182</v>
      </c>
    </row>
    <row r="686" spans="1:15" x14ac:dyDescent="0.6">
      <c r="I686" s="2">
        <v>8</v>
      </c>
      <c r="J686">
        <v>3</v>
      </c>
      <c r="K686" t="s">
        <v>281</v>
      </c>
      <c r="L686" t="str">
        <f t="shared" si="10"/>
        <v>P</v>
      </c>
      <c r="M686" t="s">
        <v>3</v>
      </c>
      <c r="N686" t="s">
        <v>284</v>
      </c>
      <c r="O686" t="s">
        <v>1183</v>
      </c>
    </row>
    <row r="687" spans="1:15" x14ac:dyDescent="0.6">
      <c r="I687" s="2">
        <v>9</v>
      </c>
      <c r="J687">
        <v>4</v>
      </c>
      <c r="K687" t="s">
        <v>283</v>
      </c>
      <c r="L687" t="str">
        <f t="shared" si="10"/>
        <v>Z</v>
      </c>
      <c r="M687" t="s">
        <v>3</v>
      </c>
      <c r="N687" t="s">
        <v>317</v>
      </c>
      <c r="O687" t="s">
        <v>1184</v>
      </c>
    </row>
    <row r="688" spans="1:15" x14ac:dyDescent="0.6">
      <c r="A688" t="s">
        <v>335</v>
      </c>
      <c r="B688" t="s">
        <v>298</v>
      </c>
      <c r="C688" t="s">
        <v>94</v>
      </c>
      <c r="D688" t="str">
        <f>IF(E688&gt;F688,"승",IF(E688&lt;F688,"패"))</f>
        <v>패</v>
      </c>
      <c r="E688">
        <f>COUNTIF(M688:M696,"승")</f>
        <v>3</v>
      </c>
      <c r="F688">
        <f>COUNTA(M688:M696)-E688</f>
        <v>6</v>
      </c>
      <c r="G688" s="1">
        <f>E688/(E688+F688)</f>
        <v>0.33333333333333331</v>
      </c>
      <c r="H688" s="1" t="s">
        <v>144</v>
      </c>
      <c r="I688" s="2">
        <v>1</v>
      </c>
      <c r="J688" t="s">
        <v>559</v>
      </c>
      <c r="K688" t="s">
        <v>18</v>
      </c>
      <c r="L688" t="str">
        <f t="shared" si="10"/>
        <v>Z</v>
      </c>
      <c r="M688" t="s">
        <v>4</v>
      </c>
      <c r="N688" t="s">
        <v>58</v>
      </c>
      <c r="O688" t="s">
        <v>1185</v>
      </c>
    </row>
    <row r="689" spans="1:15" x14ac:dyDescent="0.6">
      <c r="I689" s="2">
        <v>2</v>
      </c>
      <c r="J689">
        <v>2</v>
      </c>
      <c r="K689" t="s">
        <v>133</v>
      </c>
      <c r="L689" t="str">
        <f t="shared" si="10"/>
        <v>P</v>
      </c>
      <c r="M689" t="s">
        <v>4</v>
      </c>
      <c r="N689" t="s">
        <v>219</v>
      </c>
      <c r="O689" t="s">
        <v>1186</v>
      </c>
    </row>
    <row r="690" spans="1:15" x14ac:dyDescent="0.6">
      <c r="I690" s="2">
        <v>3</v>
      </c>
      <c r="J690">
        <v>3</v>
      </c>
      <c r="K690" t="s">
        <v>177</v>
      </c>
      <c r="L690" t="str">
        <f t="shared" si="10"/>
        <v>T</v>
      </c>
      <c r="M690" t="s">
        <v>3</v>
      </c>
      <c r="N690" t="s">
        <v>61</v>
      </c>
      <c r="O690" t="s">
        <v>1187</v>
      </c>
    </row>
    <row r="691" spans="1:15" x14ac:dyDescent="0.6">
      <c r="I691" s="2">
        <v>4</v>
      </c>
      <c r="J691">
        <v>4</v>
      </c>
      <c r="K691" t="s">
        <v>281</v>
      </c>
      <c r="L691" t="str">
        <f t="shared" si="10"/>
        <v>P</v>
      </c>
      <c r="M691" t="s">
        <v>4</v>
      </c>
      <c r="N691" t="s">
        <v>212</v>
      </c>
      <c r="O691" t="s">
        <v>1188</v>
      </c>
    </row>
    <row r="692" spans="1:15" x14ac:dyDescent="0.6">
      <c r="I692" s="2">
        <v>5</v>
      </c>
      <c r="J692" t="s">
        <v>559</v>
      </c>
      <c r="K692" t="s">
        <v>133</v>
      </c>
      <c r="L692" t="str">
        <f t="shared" si="10"/>
        <v>P</v>
      </c>
      <c r="M692" t="s">
        <v>4</v>
      </c>
      <c r="N692" t="s">
        <v>219</v>
      </c>
      <c r="O692" t="s">
        <v>1189</v>
      </c>
    </row>
    <row r="693" spans="1:15" x14ac:dyDescent="0.6">
      <c r="I693" s="2">
        <v>6</v>
      </c>
      <c r="J693">
        <v>2</v>
      </c>
      <c r="K693" t="s">
        <v>177</v>
      </c>
      <c r="L693" t="str">
        <f t="shared" si="10"/>
        <v>T</v>
      </c>
      <c r="M693" t="s">
        <v>3</v>
      </c>
      <c r="N693" t="s">
        <v>61</v>
      </c>
      <c r="O693" t="s">
        <v>1190</v>
      </c>
    </row>
    <row r="694" spans="1:15" x14ac:dyDescent="0.6">
      <c r="I694" s="2">
        <v>7</v>
      </c>
      <c r="J694">
        <v>3</v>
      </c>
      <c r="K694" t="s">
        <v>18</v>
      </c>
      <c r="L694" t="str">
        <f t="shared" si="10"/>
        <v>Z</v>
      </c>
      <c r="M694" t="s">
        <v>4</v>
      </c>
      <c r="N694" t="s">
        <v>58</v>
      </c>
      <c r="O694" t="s">
        <v>1191</v>
      </c>
    </row>
    <row r="695" spans="1:15" x14ac:dyDescent="0.6">
      <c r="I695" s="2">
        <v>8</v>
      </c>
      <c r="J695">
        <v>4</v>
      </c>
      <c r="K695" t="s">
        <v>281</v>
      </c>
      <c r="L695" t="str">
        <f t="shared" si="10"/>
        <v>P</v>
      </c>
      <c r="M695" t="s">
        <v>3</v>
      </c>
      <c r="N695" t="s">
        <v>212</v>
      </c>
      <c r="O695" t="s">
        <v>1192</v>
      </c>
    </row>
    <row r="696" spans="1:15" x14ac:dyDescent="0.6">
      <c r="I696" s="2">
        <v>9</v>
      </c>
      <c r="J696">
        <v>5</v>
      </c>
      <c r="K696" t="s">
        <v>177</v>
      </c>
      <c r="L696" t="str">
        <f t="shared" si="10"/>
        <v>T</v>
      </c>
      <c r="M696" t="s">
        <v>4</v>
      </c>
      <c r="N696" t="s">
        <v>61</v>
      </c>
      <c r="O696" t="s">
        <v>1193</v>
      </c>
    </row>
    <row r="697" spans="1:15" x14ac:dyDescent="0.6">
      <c r="A697" t="s">
        <v>336</v>
      </c>
      <c r="B697" t="s">
        <v>117</v>
      </c>
      <c r="C697" t="s">
        <v>94</v>
      </c>
      <c r="D697" t="s">
        <v>3</v>
      </c>
      <c r="E697">
        <f>COUNTIF(M697:M705,"승")</f>
        <v>4</v>
      </c>
      <c r="F697">
        <f>COUNTA(M697:M705)-E697</f>
        <v>5</v>
      </c>
      <c r="G697" s="1">
        <f>E697/(E697+F697)</f>
        <v>0.44444444444444442</v>
      </c>
      <c r="H697" s="1" t="s">
        <v>192</v>
      </c>
      <c r="I697" s="2">
        <v>1</v>
      </c>
      <c r="J697" t="s">
        <v>559</v>
      </c>
      <c r="K697" t="s">
        <v>133</v>
      </c>
      <c r="L697" t="str">
        <f t="shared" si="10"/>
        <v>P</v>
      </c>
      <c r="M697" t="s">
        <v>4</v>
      </c>
      <c r="N697" t="s">
        <v>150</v>
      </c>
      <c r="O697" t="s">
        <v>1194</v>
      </c>
    </row>
    <row r="698" spans="1:15" x14ac:dyDescent="0.6">
      <c r="I698" s="2">
        <v>2</v>
      </c>
      <c r="J698">
        <v>2</v>
      </c>
      <c r="K698" t="s">
        <v>281</v>
      </c>
      <c r="L698" t="str">
        <f t="shared" si="10"/>
        <v>P</v>
      </c>
      <c r="M698" t="s">
        <v>4</v>
      </c>
      <c r="N698" t="s">
        <v>337</v>
      </c>
      <c r="O698" t="s">
        <v>1195</v>
      </c>
    </row>
    <row r="699" spans="1:15" x14ac:dyDescent="0.6">
      <c r="I699" s="2">
        <v>3</v>
      </c>
      <c r="J699">
        <v>3</v>
      </c>
      <c r="K699" t="s">
        <v>208</v>
      </c>
      <c r="L699" t="str">
        <f t="shared" si="10"/>
        <v>P</v>
      </c>
      <c r="M699" t="s">
        <v>3</v>
      </c>
      <c r="N699" t="s">
        <v>182</v>
      </c>
      <c r="O699" t="s">
        <v>1196</v>
      </c>
    </row>
    <row r="700" spans="1:15" x14ac:dyDescent="0.6">
      <c r="I700" s="2">
        <v>4</v>
      </c>
      <c r="J700">
        <v>4</v>
      </c>
      <c r="K700" t="s">
        <v>278</v>
      </c>
      <c r="L700" t="str">
        <f t="shared" si="10"/>
        <v>Z</v>
      </c>
      <c r="M700" t="s">
        <v>3</v>
      </c>
      <c r="N700" t="s">
        <v>120</v>
      </c>
      <c r="O700" t="s">
        <v>1197</v>
      </c>
    </row>
    <row r="701" spans="1:15" x14ac:dyDescent="0.6">
      <c r="I701" s="2">
        <v>5</v>
      </c>
      <c r="J701">
        <v>5</v>
      </c>
      <c r="K701" t="s">
        <v>281</v>
      </c>
      <c r="L701" t="str">
        <f t="shared" si="10"/>
        <v>P</v>
      </c>
      <c r="M701" t="s">
        <v>3</v>
      </c>
      <c r="N701" t="s">
        <v>121</v>
      </c>
      <c r="O701" t="s">
        <v>1198</v>
      </c>
    </row>
    <row r="702" spans="1:15" x14ac:dyDescent="0.6">
      <c r="I702" s="2">
        <v>6</v>
      </c>
      <c r="J702" t="s">
        <v>559</v>
      </c>
      <c r="K702" t="s">
        <v>208</v>
      </c>
      <c r="L702" t="str">
        <f t="shared" si="10"/>
        <v>P</v>
      </c>
      <c r="M702" t="s">
        <v>4</v>
      </c>
      <c r="N702" t="s">
        <v>182</v>
      </c>
      <c r="O702" t="s">
        <v>1199</v>
      </c>
    </row>
    <row r="703" spans="1:15" x14ac:dyDescent="0.6">
      <c r="I703" s="2">
        <v>7</v>
      </c>
      <c r="J703">
        <v>2</v>
      </c>
      <c r="K703" t="s">
        <v>133</v>
      </c>
      <c r="L703" t="str">
        <f t="shared" si="10"/>
        <v>P</v>
      </c>
      <c r="M703" t="s">
        <v>4</v>
      </c>
      <c r="N703" t="s">
        <v>150</v>
      </c>
      <c r="O703" t="s">
        <v>1200</v>
      </c>
    </row>
    <row r="704" spans="1:15" x14ac:dyDescent="0.6">
      <c r="I704" s="2">
        <v>8</v>
      </c>
      <c r="J704">
        <v>3</v>
      </c>
      <c r="K704" t="s">
        <v>281</v>
      </c>
      <c r="L704" t="str">
        <f t="shared" si="10"/>
        <v>P</v>
      </c>
      <c r="M704" t="s">
        <v>4</v>
      </c>
      <c r="N704" t="s">
        <v>121</v>
      </c>
      <c r="O704" t="s">
        <v>1201</v>
      </c>
    </row>
    <row r="705" spans="1:15" x14ac:dyDescent="0.6">
      <c r="I705" s="2">
        <v>9</v>
      </c>
      <c r="J705" t="s">
        <v>562</v>
      </c>
      <c r="K705" t="s">
        <v>278</v>
      </c>
      <c r="L705" t="str">
        <f t="shared" si="10"/>
        <v>Z</v>
      </c>
      <c r="M705" t="s">
        <v>3</v>
      </c>
      <c r="N705" t="s">
        <v>120</v>
      </c>
      <c r="O705" t="s">
        <v>1202</v>
      </c>
    </row>
    <row r="706" spans="1:15" x14ac:dyDescent="0.6">
      <c r="A706" t="s">
        <v>338</v>
      </c>
      <c r="B706" t="s">
        <v>224</v>
      </c>
      <c r="C706" t="s">
        <v>94</v>
      </c>
      <c r="D706" t="str">
        <f>IF(E706&gt;F706,"승",IF(E706&lt;F706,"패"))</f>
        <v>패</v>
      </c>
      <c r="E706">
        <f>COUNTIF(M706:M711,"승")</f>
        <v>0</v>
      </c>
      <c r="F706">
        <f>COUNTA(M706:M711)-E706</f>
        <v>6</v>
      </c>
      <c r="G706" s="1">
        <f>E706/(E706+F706)</f>
        <v>0</v>
      </c>
      <c r="H706" s="1" t="s">
        <v>144</v>
      </c>
      <c r="I706" s="2">
        <v>1</v>
      </c>
      <c r="J706" t="s">
        <v>559</v>
      </c>
      <c r="K706" t="s">
        <v>133</v>
      </c>
      <c r="L706" t="str">
        <f t="shared" si="10"/>
        <v>P</v>
      </c>
      <c r="M706" t="s">
        <v>4</v>
      </c>
      <c r="N706" t="s">
        <v>225</v>
      </c>
      <c r="O706" t="s">
        <v>1225</v>
      </c>
    </row>
    <row r="707" spans="1:15" x14ac:dyDescent="0.6">
      <c r="I707" s="2">
        <v>2</v>
      </c>
      <c r="J707">
        <v>2</v>
      </c>
      <c r="K707" t="s">
        <v>8</v>
      </c>
      <c r="L707" t="str">
        <f t="shared" si="10"/>
        <v>P</v>
      </c>
      <c r="M707" t="s">
        <v>4</v>
      </c>
      <c r="N707" t="s">
        <v>36</v>
      </c>
      <c r="O707" t="s">
        <v>1226</v>
      </c>
    </row>
    <row r="708" spans="1:15" x14ac:dyDescent="0.6">
      <c r="I708" s="2">
        <v>3</v>
      </c>
      <c r="J708">
        <v>3</v>
      </c>
      <c r="K708" t="s">
        <v>18</v>
      </c>
      <c r="L708" t="str">
        <f t="shared" ref="L708:L771" si="11">INDEX($R$2:$R$99,MATCH(K708,$Q$2:$Q$99,0))</f>
        <v>Z</v>
      </c>
      <c r="M708" t="s">
        <v>4</v>
      </c>
      <c r="N708" t="s">
        <v>228</v>
      </c>
      <c r="O708" t="s">
        <v>1227</v>
      </c>
    </row>
    <row r="709" spans="1:15" x14ac:dyDescent="0.6">
      <c r="I709" s="2">
        <v>4</v>
      </c>
      <c r="J709" t="s">
        <v>559</v>
      </c>
      <c r="K709" t="s">
        <v>278</v>
      </c>
      <c r="L709" t="str">
        <f t="shared" si="11"/>
        <v>Z</v>
      </c>
      <c r="M709" t="s">
        <v>4</v>
      </c>
      <c r="N709" t="s">
        <v>229</v>
      </c>
      <c r="O709" t="s">
        <v>1228</v>
      </c>
    </row>
    <row r="710" spans="1:15" x14ac:dyDescent="0.6">
      <c r="I710" s="2">
        <v>5</v>
      </c>
      <c r="J710">
        <v>2</v>
      </c>
      <c r="K710" t="s">
        <v>177</v>
      </c>
      <c r="L710" t="str">
        <f t="shared" si="11"/>
        <v>T</v>
      </c>
      <c r="M710" t="s">
        <v>4</v>
      </c>
      <c r="N710" t="s">
        <v>305</v>
      </c>
      <c r="O710" t="s">
        <v>1229</v>
      </c>
    </row>
    <row r="711" spans="1:15" x14ac:dyDescent="0.6">
      <c r="I711" s="2">
        <v>6</v>
      </c>
      <c r="J711">
        <v>3</v>
      </c>
      <c r="K711" t="s">
        <v>18</v>
      </c>
      <c r="L711" t="str">
        <f t="shared" si="11"/>
        <v>Z</v>
      </c>
      <c r="M711" t="s">
        <v>4</v>
      </c>
      <c r="N711" t="s">
        <v>228</v>
      </c>
      <c r="O711" t="s">
        <v>1230</v>
      </c>
    </row>
    <row r="712" spans="1:15" x14ac:dyDescent="0.6">
      <c r="A712" t="s">
        <v>339</v>
      </c>
      <c r="B712" t="s">
        <v>131</v>
      </c>
      <c r="C712" t="s">
        <v>55</v>
      </c>
      <c r="D712" t="str">
        <f>IF(E712&gt;F712,"승",IF(E712&lt;F712,"패"))</f>
        <v>패</v>
      </c>
      <c r="E712">
        <f>COUNTIF(M712:M718,"승")</f>
        <v>2</v>
      </c>
      <c r="F712">
        <f>COUNTA(M712:M718)-E712</f>
        <v>5</v>
      </c>
      <c r="G712" s="1">
        <f>E712/(E712+F712)</f>
        <v>0.2857142857142857</v>
      </c>
      <c r="H712" s="1"/>
      <c r="I712" s="2">
        <v>1</v>
      </c>
      <c r="J712" t="s">
        <v>559</v>
      </c>
      <c r="K712" t="s">
        <v>8</v>
      </c>
      <c r="L712" t="str">
        <f t="shared" si="11"/>
        <v>P</v>
      </c>
      <c r="M712" t="s">
        <v>4</v>
      </c>
      <c r="N712" t="s">
        <v>206</v>
      </c>
      <c r="O712" t="s">
        <v>1231</v>
      </c>
    </row>
    <row r="713" spans="1:15" x14ac:dyDescent="0.6">
      <c r="I713" s="2">
        <v>2</v>
      </c>
      <c r="J713">
        <v>2</v>
      </c>
      <c r="K713" t="s">
        <v>177</v>
      </c>
      <c r="L713" t="str">
        <f t="shared" si="11"/>
        <v>T</v>
      </c>
      <c r="M713" t="s">
        <v>4</v>
      </c>
      <c r="N713" t="s">
        <v>135</v>
      </c>
      <c r="O713" t="s">
        <v>1232</v>
      </c>
    </row>
    <row r="714" spans="1:15" x14ac:dyDescent="0.6">
      <c r="I714" s="2">
        <v>3</v>
      </c>
      <c r="J714">
        <v>3</v>
      </c>
      <c r="K714" t="s">
        <v>208</v>
      </c>
      <c r="L714" t="str">
        <f t="shared" si="11"/>
        <v>P</v>
      </c>
      <c r="M714" t="s">
        <v>3</v>
      </c>
      <c r="N714" t="s">
        <v>154</v>
      </c>
      <c r="O714" t="s">
        <v>1233</v>
      </c>
    </row>
    <row r="715" spans="1:15" x14ac:dyDescent="0.6">
      <c r="I715" s="2">
        <v>4</v>
      </c>
      <c r="J715">
        <v>4</v>
      </c>
      <c r="K715" t="s">
        <v>281</v>
      </c>
      <c r="L715" t="str">
        <f t="shared" si="11"/>
        <v>P</v>
      </c>
      <c r="M715" t="s">
        <v>4</v>
      </c>
      <c r="N715" t="s">
        <v>222</v>
      </c>
      <c r="O715" t="s">
        <v>1234</v>
      </c>
    </row>
    <row r="716" spans="1:15" x14ac:dyDescent="0.6">
      <c r="I716" s="2">
        <v>5</v>
      </c>
      <c r="J716">
        <v>5</v>
      </c>
      <c r="K716" t="s">
        <v>18</v>
      </c>
      <c r="L716" t="str">
        <f t="shared" si="11"/>
        <v>Z</v>
      </c>
      <c r="M716" t="s">
        <v>4</v>
      </c>
      <c r="N716" t="s">
        <v>277</v>
      </c>
      <c r="O716" t="s">
        <v>1235</v>
      </c>
    </row>
    <row r="717" spans="1:15" x14ac:dyDescent="0.6">
      <c r="I717" s="2">
        <v>6</v>
      </c>
      <c r="J717">
        <v>6</v>
      </c>
      <c r="K717" t="s">
        <v>217</v>
      </c>
      <c r="L717" t="str">
        <f t="shared" si="11"/>
        <v>T</v>
      </c>
      <c r="M717" t="s">
        <v>3</v>
      </c>
      <c r="N717" t="s">
        <v>340</v>
      </c>
      <c r="O717" t="s">
        <v>1236</v>
      </c>
    </row>
    <row r="718" spans="1:15" x14ac:dyDescent="0.6">
      <c r="I718" s="2">
        <v>7</v>
      </c>
      <c r="J718">
        <v>7</v>
      </c>
      <c r="K718" t="s">
        <v>133</v>
      </c>
      <c r="L718" t="str">
        <f t="shared" si="11"/>
        <v>P</v>
      </c>
      <c r="M718" t="s">
        <v>4</v>
      </c>
      <c r="N718" t="s">
        <v>20</v>
      </c>
      <c r="O718" t="s">
        <v>1237</v>
      </c>
    </row>
    <row r="719" spans="1:15" x14ac:dyDescent="0.6">
      <c r="A719" t="s">
        <v>341</v>
      </c>
      <c r="B719" t="s">
        <v>93</v>
      </c>
      <c r="C719" t="s">
        <v>55</v>
      </c>
      <c r="D719" t="str">
        <f>IF(E719&gt;F719,"승",IF(E719&lt;F719,"패"))</f>
        <v>승</v>
      </c>
      <c r="E719">
        <f>COUNTIF(M719:M725,"승")</f>
        <v>5</v>
      </c>
      <c r="F719">
        <f>COUNTA(M719:M725)-E719</f>
        <v>2</v>
      </c>
      <c r="G719" s="1">
        <f>E719/(E719+F719)</f>
        <v>0.7142857142857143</v>
      </c>
      <c r="H719" t="s">
        <v>347</v>
      </c>
      <c r="I719" s="2">
        <v>1</v>
      </c>
      <c r="J719" t="s">
        <v>559</v>
      </c>
      <c r="K719" t="s">
        <v>132</v>
      </c>
      <c r="L719" t="str">
        <f t="shared" si="11"/>
        <v>P</v>
      </c>
      <c r="M719" t="s">
        <v>3</v>
      </c>
      <c r="N719" t="s">
        <v>342</v>
      </c>
      <c r="O719" t="s">
        <v>1238</v>
      </c>
    </row>
    <row r="720" spans="1:15" x14ac:dyDescent="0.6">
      <c r="I720" s="2">
        <v>2</v>
      </c>
      <c r="J720">
        <v>2</v>
      </c>
      <c r="K720" t="s">
        <v>283</v>
      </c>
      <c r="L720" t="str">
        <f t="shared" si="11"/>
        <v>Z</v>
      </c>
      <c r="M720" t="s">
        <v>3</v>
      </c>
      <c r="N720" t="s">
        <v>296</v>
      </c>
      <c r="O720" t="s">
        <v>1239</v>
      </c>
    </row>
    <row r="721" spans="1:15" x14ac:dyDescent="0.6">
      <c r="I721" s="2">
        <v>3</v>
      </c>
      <c r="J721">
        <v>3</v>
      </c>
      <c r="K721" t="s">
        <v>278</v>
      </c>
      <c r="L721" t="str">
        <f t="shared" si="11"/>
        <v>Z</v>
      </c>
      <c r="M721" t="s">
        <v>3</v>
      </c>
      <c r="N721" t="s">
        <v>143</v>
      </c>
      <c r="O721" t="s">
        <v>1240</v>
      </c>
    </row>
    <row r="722" spans="1:15" x14ac:dyDescent="0.6">
      <c r="I722" s="2">
        <v>4</v>
      </c>
      <c r="J722">
        <v>4</v>
      </c>
      <c r="K722" t="s">
        <v>8</v>
      </c>
      <c r="L722" t="str">
        <f t="shared" si="11"/>
        <v>P</v>
      </c>
      <c r="M722" t="s">
        <v>4</v>
      </c>
      <c r="N722" t="s">
        <v>73</v>
      </c>
      <c r="O722" t="s">
        <v>1241</v>
      </c>
    </row>
    <row r="723" spans="1:15" x14ac:dyDescent="0.6">
      <c r="I723" s="2">
        <v>5</v>
      </c>
      <c r="J723">
        <v>5</v>
      </c>
      <c r="K723" t="s">
        <v>133</v>
      </c>
      <c r="L723" t="str">
        <f t="shared" si="11"/>
        <v>P</v>
      </c>
      <c r="M723" t="s">
        <v>3</v>
      </c>
      <c r="N723" t="s">
        <v>17</v>
      </c>
      <c r="O723" t="s">
        <v>1242</v>
      </c>
    </row>
    <row r="724" spans="1:15" x14ac:dyDescent="0.6">
      <c r="I724" s="2">
        <v>6</v>
      </c>
      <c r="J724">
        <v>6</v>
      </c>
      <c r="K724" t="s">
        <v>66</v>
      </c>
      <c r="L724" t="str">
        <f t="shared" si="11"/>
        <v>Z</v>
      </c>
      <c r="M724" t="s">
        <v>4</v>
      </c>
      <c r="N724" t="s">
        <v>68</v>
      </c>
      <c r="O724" t="s">
        <v>1243</v>
      </c>
    </row>
    <row r="725" spans="1:15" x14ac:dyDescent="0.6">
      <c r="I725" s="2">
        <v>7</v>
      </c>
      <c r="J725">
        <v>7</v>
      </c>
      <c r="K725" t="s">
        <v>208</v>
      </c>
      <c r="L725" t="str">
        <f t="shared" si="11"/>
        <v>P</v>
      </c>
      <c r="M725" t="s">
        <v>3</v>
      </c>
      <c r="N725" t="s">
        <v>122</v>
      </c>
      <c r="O725" t="s">
        <v>1244</v>
      </c>
    </row>
    <row r="726" spans="1:15" x14ac:dyDescent="0.6">
      <c r="A726" t="s">
        <v>343</v>
      </c>
      <c r="B726" t="s">
        <v>224</v>
      </c>
      <c r="C726" t="s">
        <v>55</v>
      </c>
      <c r="D726" t="str">
        <f>IF(E726&gt;F726,"승",IF(E726&lt;F726,"패"))</f>
        <v>승</v>
      </c>
      <c r="E726">
        <f>COUNTIF(M726:M732,"승")</f>
        <v>5</v>
      </c>
      <c r="F726">
        <f>COUNTA(M726:M732)-E726</f>
        <v>2</v>
      </c>
      <c r="G726" s="1">
        <f>E726/(E726+F726)</f>
        <v>0.7142857142857143</v>
      </c>
      <c r="H726" t="s">
        <v>348</v>
      </c>
      <c r="I726" s="2">
        <v>1</v>
      </c>
      <c r="J726" t="s">
        <v>559</v>
      </c>
      <c r="K726" t="s">
        <v>8</v>
      </c>
      <c r="L726" t="str">
        <f t="shared" si="11"/>
        <v>P</v>
      </c>
      <c r="M726" t="s">
        <v>3</v>
      </c>
      <c r="N726" t="s">
        <v>226</v>
      </c>
      <c r="O726" t="s">
        <v>1245</v>
      </c>
    </row>
    <row r="727" spans="1:15" x14ac:dyDescent="0.6">
      <c r="I727" s="2">
        <v>2</v>
      </c>
      <c r="J727">
        <v>2</v>
      </c>
      <c r="K727" t="s">
        <v>208</v>
      </c>
      <c r="L727" t="str">
        <f t="shared" si="11"/>
        <v>P</v>
      </c>
      <c r="M727" t="s">
        <v>3</v>
      </c>
      <c r="N727" t="s">
        <v>36</v>
      </c>
      <c r="O727" t="s">
        <v>1246</v>
      </c>
    </row>
    <row r="728" spans="1:15" x14ac:dyDescent="0.6">
      <c r="I728" s="2">
        <v>3</v>
      </c>
      <c r="J728">
        <v>3</v>
      </c>
      <c r="K728" t="s">
        <v>177</v>
      </c>
      <c r="L728" t="str">
        <f t="shared" si="11"/>
        <v>T</v>
      </c>
      <c r="M728" t="s">
        <v>4</v>
      </c>
      <c r="N728" t="s">
        <v>344</v>
      </c>
      <c r="O728" t="s">
        <v>1247</v>
      </c>
    </row>
    <row r="729" spans="1:15" x14ac:dyDescent="0.6">
      <c r="I729" s="2">
        <v>4</v>
      </c>
      <c r="J729">
        <v>4</v>
      </c>
      <c r="K729" t="s">
        <v>132</v>
      </c>
      <c r="L729" t="str">
        <f t="shared" si="11"/>
        <v>P</v>
      </c>
      <c r="M729" t="s">
        <v>3</v>
      </c>
      <c r="N729" t="s">
        <v>231</v>
      </c>
      <c r="O729" t="s">
        <v>1248</v>
      </c>
    </row>
    <row r="730" spans="1:15" x14ac:dyDescent="0.6">
      <c r="I730" s="2">
        <v>5</v>
      </c>
      <c r="J730">
        <v>5</v>
      </c>
      <c r="K730" t="s">
        <v>18</v>
      </c>
      <c r="L730" t="str">
        <f t="shared" si="11"/>
        <v>Z</v>
      </c>
      <c r="M730" t="s">
        <v>3</v>
      </c>
      <c r="N730" t="s">
        <v>225</v>
      </c>
      <c r="O730" t="s">
        <v>1249</v>
      </c>
    </row>
    <row r="731" spans="1:15" x14ac:dyDescent="0.6">
      <c r="I731" s="2">
        <v>6</v>
      </c>
      <c r="J731">
        <v>6</v>
      </c>
      <c r="K731" t="s">
        <v>278</v>
      </c>
      <c r="L731" t="str">
        <f t="shared" si="11"/>
        <v>Z</v>
      </c>
      <c r="M731" t="s">
        <v>4</v>
      </c>
      <c r="N731" t="s">
        <v>230</v>
      </c>
      <c r="O731" t="s">
        <v>1250</v>
      </c>
    </row>
    <row r="732" spans="1:15" x14ac:dyDescent="0.6">
      <c r="I732" s="2">
        <v>7</v>
      </c>
      <c r="J732">
        <v>7</v>
      </c>
      <c r="K732" t="s">
        <v>66</v>
      </c>
      <c r="L732" t="str">
        <f t="shared" si="11"/>
        <v>Z</v>
      </c>
      <c r="M732" t="s">
        <v>3</v>
      </c>
      <c r="N732" t="s">
        <v>305</v>
      </c>
      <c r="O732" t="s">
        <v>1251</v>
      </c>
    </row>
    <row r="733" spans="1:15" x14ac:dyDescent="0.6">
      <c r="A733" t="s">
        <v>345</v>
      </c>
      <c r="B733" t="s">
        <v>346</v>
      </c>
      <c r="C733" t="s">
        <v>55</v>
      </c>
      <c r="D733" t="str">
        <f>IF(E733&gt;F733,"승",IF(E733&lt;F733,"패"))</f>
        <v>승</v>
      </c>
      <c r="E733">
        <f>COUNTIF(M733:M740,"승")</f>
        <v>5</v>
      </c>
      <c r="F733">
        <f>COUNTA(M733:M740)-E733</f>
        <v>3</v>
      </c>
      <c r="G733" s="1">
        <f>E733/(E733+F733)</f>
        <v>0.625</v>
      </c>
      <c r="H733" t="s">
        <v>350</v>
      </c>
      <c r="I733" s="2">
        <v>1</v>
      </c>
      <c r="J733" t="s">
        <v>559</v>
      </c>
      <c r="K733" t="s">
        <v>133</v>
      </c>
      <c r="L733" t="str">
        <f t="shared" si="11"/>
        <v>P</v>
      </c>
      <c r="M733" t="s">
        <v>3</v>
      </c>
      <c r="N733" t="s">
        <v>96</v>
      </c>
      <c r="O733" t="s">
        <v>1252</v>
      </c>
    </row>
    <row r="734" spans="1:15" x14ac:dyDescent="0.6">
      <c r="I734" s="2">
        <v>2</v>
      </c>
      <c r="J734">
        <v>2</v>
      </c>
      <c r="K734" t="s">
        <v>208</v>
      </c>
      <c r="L734" t="str">
        <f t="shared" si="11"/>
        <v>P</v>
      </c>
      <c r="M734" t="s">
        <v>3</v>
      </c>
      <c r="N734" t="s">
        <v>235</v>
      </c>
      <c r="O734" t="s">
        <v>1253</v>
      </c>
    </row>
    <row r="735" spans="1:15" x14ac:dyDescent="0.6">
      <c r="I735" s="2">
        <v>3</v>
      </c>
      <c r="J735">
        <v>3</v>
      </c>
      <c r="K735" t="s">
        <v>66</v>
      </c>
      <c r="L735" t="str">
        <f t="shared" si="11"/>
        <v>Z</v>
      </c>
      <c r="M735" t="s">
        <v>4</v>
      </c>
      <c r="N735" t="s">
        <v>150</v>
      </c>
      <c r="O735" t="s">
        <v>1254</v>
      </c>
    </row>
    <row r="736" spans="1:15" x14ac:dyDescent="0.6">
      <c r="I736" s="2">
        <v>4</v>
      </c>
      <c r="J736">
        <v>4</v>
      </c>
      <c r="K736" t="s">
        <v>283</v>
      </c>
      <c r="L736" t="str">
        <f t="shared" si="11"/>
        <v>Z</v>
      </c>
      <c r="M736" t="s">
        <v>4</v>
      </c>
      <c r="N736" t="s">
        <v>286</v>
      </c>
      <c r="O736" t="s">
        <v>1256</v>
      </c>
    </row>
    <row r="737" spans="1:15" x14ac:dyDescent="0.6">
      <c r="I737" s="2">
        <v>5</v>
      </c>
      <c r="J737">
        <v>5</v>
      </c>
      <c r="K737" t="s">
        <v>132</v>
      </c>
      <c r="L737" t="str">
        <f t="shared" si="11"/>
        <v>P</v>
      </c>
      <c r="M737" t="s">
        <v>3</v>
      </c>
      <c r="N737" t="s">
        <v>349</v>
      </c>
      <c r="O737" t="s">
        <v>1255</v>
      </c>
    </row>
    <row r="738" spans="1:15" x14ac:dyDescent="0.6">
      <c r="I738" s="2">
        <v>6</v>
      </c>
      <c r="J738">
        <v>6</v>
      </c>
      <c r="K738" t="s">
        <v>177</v>
      </c>
      <c r="L738" t="str">
        <f t="shared" si="11"/>
        <v>T</v>
      </c>
      <c r="M738" t="s">
        <v>3</v>
      </c>
      <c r="N738" t="s">
        <v>58</v>
      </c>
      <c r="O738" t="s">
        <v>1257</v>
      </c>
    </row>
    <row r="739" spans="1:15" x14ac:dyDescent="0.6">
      <c r="I739" s="2">
        <v>7</v>
      </c>
      <c r="J739">
        <v>7</v>
      </c>
      <c r="K739" t="s">
        <v>278</v>
      </c>
      <c r="L739" t="str">
        <f t="shared" si="11"/>
        <v>Z</v>
      </c>
      <c r="M739" t="s">
        <v>4</v>
      </c>
      <c r="N739" t="s">
        <v>153</v>
      </c>
      <c r="O739" t="s">
        <v>1259</v>
      </c>
    </row>
    <row r="740" spans="1:15" x14ac:dyDescent="0.6">
      <c r="I740" s="2">
        <v>8</v>
      </c>
      <c r="J740">
        <v>8</v>
      </c>
      <c r="K740" t="s">
        <v>66</v>
      </c>
      <c r="L740" t="str">
        <f t="shared" si="11"/>
        <v>Z</v>
      </c>
      <c r="M740" t="s">
        <v>3</v>
      </c>
      <c r="N740" t="s">
        <v>150</v>
      </c>
      <c r="O740" t="s">
        <v>1258</v>
      </c>
    </row>
    <row r="741" spans="1:15" x14ac:dyDescent="0.6">
      <c r="A741" t="s">
        <v>351</v>
      </c>
      <c r="B741" t="s">
        <v>117</v>
      </c>
      <c r="C741" t="s">
        <v>55</v>
      </c>
      <c r="D741" t="str">
        <f>IF(E741&gt;F741,"승",IF(E741&lt;F741,"패"))</f>
        <v>승</v>
      </c>
      <c r="E741">
        <f>COUNTIF(M741:M746,"승")</f>
        <v>4</v>
      </c>
      <c r="F741">
        <f>COUNTA(M741:M746)-E741</f>
        <v>2</v>
      </c>
      <c r="G741" s="1">
        <f>E741/(E741+F741)</f>
        <v>0.66666666666666663</v>
      </c>
      <c r="H741" t="s">
        <v>352</v>
      </c>
      <c r="I741" s="2">
        <v>1</v>
      </c>
      <c r="J741" t="s">
        <v>559</v>
      </c>
      <c r="K741" t="s">
        <v>18</v>
      </c>
      <c r="L741" t="str">
        <f t="shared" si="11"/>
        <v>Z</v>
      </c>
      <c r="M741" t="s">
        <v>3</v>
      </c>
      <c r="N741" t="s">
        <v>77</v>
      </c>
      <c r="O741" t="s">
        <v>1260</v>
      </c>
    </row>
    <row r="742" spans="1:15" x14ac:dyDescent="0.6">
      <c r="I742" s="2">
        <v>2</v>
      </c>
      <c r="J742">
        <v>2</v>
      </c>
      <c r="K742" t="s">
        <v>8</v>
      </c>
      <c r="L742" t="str">
        <f t="shared" si="11"/>
        <v>P</v>
      </c>
      <c r="M742" t="s">
        <v>3</v>
      </c>
      <c r="N742" t="s">
        <v>149</v>
      </c>
      <c r="O742" t="s">
        <v>1261</v>
      </c>
    </row>
    <row r="743" spans="1:15" x14ac:dyDescent="0.6">
      <c r="I743" s="2">
        <v>3</v>
      </c>
      <c r="J743">
        <v>3</v>
      </c>
      <c r="K743" t="s">
        <v>208</v>
      </c>
      <c r="L743" t="str">
        <f t="shared" si="11"/>
        <v>P</v>
      </c>
      <c r="M743" t="s">
        <v>4</v>
      </c>
      <c r="N743" t="s">
        <v>197</v>
      </c>
      <c r="O743" t="s">
        <v>1262</v>
      </c>
    </row>
    <row r="744" spans="1:15" x14ac:dyDescent="0.6">
      <c r="I744" s="2">
        <v>4</v>
      </c>
      <c r="J744">
        <v>4</v>
      </c>
      <c r="K744" t="s">
        <v>132</v>
      </c>
      <c r="L744" t="str">
        <f t="shared" si="11"/>
        <v>P</v>
      </c>
      <c r="M744" t="s">
        <v>4</v>
      </c>
      <c r="N744" t="s">
        <v>353</v>
      </c>
      <c r="O744" t="s">
        <v>1263</v>
      </c>
    </row>
    <row r="745" spans="1:15" x14ac:dyDescent="0.6">
      <c r="I745" s="2">
        <v>5</v>
      </c>
      <c r="J745">
        <v>5</v>
      </c>
      <c r="K745" t="s">
        <v>177</v>
      </c>
      <c r="L745" t="str">
        <f t="shared" si="11"/>
        <v>T</v>
      </c>
      <c r="M745" t="s">
        <v>3</v>
      </c>
      <c r="N745" t="s">
        <v>354</v>
      </c>
      <c r="O745" t="s">
        <v>1264</v>
      </c>
    </row>
    <row r="746" spans="1:15" x14ac:dyDescent="0.6">
      <c r="I746" s="2">
        <v>6</v>
      </c>
      <c r="J746">
        <v>6</v>
      </c>
      <c r="K746" t="s">
        <v>283</v>
      </c>
      <c r="L746" t="str">
        <f t="shared" si="11"/>
        <v>Z</v>
      </c>
      <c r="M746" t="s">
        <v>3</v>
      </c>
      <c r="N746" t="s">
        <v>300</v>
      </c>
      <c r="O746" t="s">
        <v>1265</v>
      </c>
    </row>
    <row r="747" spans="1:15" x14ac:dyDescent="0.6">
      <c r="A747" t="s">
        <v>355</v>
      </c>
      <c r="B747" t="s">
        <v>224</v>
      </c>
      <c r="C747" t="s">
        <v>55</v>
      </c>
      <c r="D747" t="str">
        <f>IF(E747&gt;F747,"승",IF(E747&lt;F747,"패"))</f>
        <v>승</v>
      </c>
      <c r="E747">
        <f>COUNTIF(M747:M751,"승")</f>
        <v>4</v>
      </c>
      <c r="F747">
        <f>COUNTA(M747:M751)-E747</f>
        <v>1</v>
      </c>
      <c r="G747" s="1">
        <f>E747/(E747+F747)</f>
        <v>0.8</v>
      </c>
      <c r="H747" t="s">
        <v>352</v>
      </c>
      <c r="I747" s="2">
        <v>1</v>
      </c>
      <c r="J747" t="s">
        <v>559</v>
      </c>
      <c r="K747" t="s">
        <v>66</v>
      </c>
      <c r="L747" t="str">
        <f t="shared" si="11"/>
        <v>Z</v>
      </c>
      <c r="M747" t="s">
        <v>3</v>
      </c>
      <c r="N747" t="s">
        <v>344</v>
      </c>
      <c r="O747" t="s">
        <v>1266</v>
      </c>
    </row>
    <row r="748" spans="1:15" x14ac:dyDescent="0.6">
      <c r="I748" s="2">
        <v>2</v>
      </c>
      <c r="J748">
        <v>2</v>
      </c>
      <c r="K748" t="s">
        <v>283</v>
      </c>
      <c r="L748" t="str">
        <f t="shared" si="11"/>
        <v>Z</v>
      </c>
      <c r="M748" t="s">
        <v>3</v>
      </c>
      <c r="N748" t="s">
        <v>323</v>
      </c>
      <c r="O748" t="s">
        <v>1267</v>
      </c>
    </row>
    <row r="749" spans="1:15" x14ac:dyDescent="0.6">
      <c r="I749" s="2">
        <v>3</v>
      </c>
      <c r="J749">
        <v>3</v>
      </c>
      <c r="K749" t="s">
        <v>208</v>
      </c>
      <c r="L749" t="str">
        <f t="shared" si="11"/>
        <v>P</v>
      </c>
      <c r="M749" t="s">
        <v>4</v>
      </c>
      <c r="N749" t="s">
        <v>36</v>
      </c>
      <c r="O749" t="s">
        <v>1268</v>
      </c>
    </row>
    <row r="750" spans="1:15" x14ac:dyDescent="0.6">
      <c r="I750" s="2">
        <v>4</v>
      </c>
      <c r="J750">
        <v>4</v>
      </c>
      <c r="K750" t="s">
        <v>18</v>
      </c>
      <c r="L750" t="str">
        <f t="shared" si="11"/>
        <v>Z</v>
      </c>
      <c r="M750" t="s">
        <v>3</v>
      </c>
      <c r="N750" t="s">
        <v>225</v>
      </c>
      <c r="O750" t="s">
        <v>1269</v>
      </c>
    </row>
    <row r="751" spans="1:15" x14ac:dyDescent="0.6">
      <c r="I751" s="2">
        <v>5</v>
      </c>
      <c r="J751">
        <v>5</v>
      </c>
      <c r="K751" t="s">
        <v>8</v>
      </c>
      <c r="L751" t="str">
        <f t="shared" si="11"/>
        <v>P</v>
      </c>
      <c r="M751" t="s">
        <v>3</v>
      </c>
      <c r="N751" t="s">
        <v>230</v>
      </c>
      <c r="O751" t="s">
        <v>1270</v>
      </c>
    </row>
    <row r="752" spans="1:15" x14ac:dyDescent="0.6">
      <c r="A752" t="s">
        <v>356</v>
      </c>
      <c r="B752" t="s">
        <v>131</v>
      </c>
      <c r="C752" t="s">
        <v>94</v>
      </c>
      <c r="D752" t="str">
        <f>IF(E752&gt;F752,"승",IF(E752&lt;F752,"패"))</f>
        <v>패</v>
      </c>
      <c r="E752">
        <f>COUNTIF(M752:M758,"승")</f>
        <v>3</v>
      </c>
      <c r="F752">
        <f>COUNTA(M752:M758)-E752</f>
        <v>4</v>
      </c>
      <c r="G752" s="1">
        <f>E752/(E752+F752)</f>
        <v>0.42857142857142855</v>
      </c>
      <c r="H752" s="1"/>
      <c r="I752" s="2">
        <v>1</v>
      </c>
      <c r="J752" t="s">
        <v>559</v>
      </c>
      <c r="K752" t="s">
        <v>133</v>
      </c>
      <c r="L752" t="str">
        <f t="shared" si="11"/>
        <v>P</v>
      </c>
      <c r="M752" t="s">
        <v>4</v>
      </c>
      <c r="N752" t="s">
        <v>20</v>
      </c>
    </row>
    <row r="753" spans="1:15" x14ac:dyDescent="0.6">
      <c r="I753" s="2">
        <v>2</v>
      </c>
      <c r="J753">
        <v>2</v>
      </c>
      <c r="K753" t="s">
        <v>8</v>
      </c>
      <c r="L753" t="str">
        <f t="shared" si="11"/>
        <v>P</v>
      </c>
      <c r="M753" t="s">
        <v>4</v>
      </c>
      <c r="N753" t="s">
        <v>120</v>
      </c>
    </row>
    <row r="754" spans="1:15" x14ac:dyDescent="0.6">
      <c r="I754" s="2">
        <v>3</v>
      </c>
      <c r="J754">
        <v>3</v>
      </c>
      <c r="K754" t="s">
        <v>208</v>
      </c>
      <c r="L754" t="str">
        <f t="shared" si="11"/>
        <v>P</v>
      </c>
      <c r="M754" t="s">
        <v>3</v>
      </c>
      <c r="N754" t="s">
        <v>80</v>
      </c>
    </row>
    <row r="755" spans="1:15" x14ac:dyDescent="0.6">
      <c r="I755" s="2">
        <v>4</v>
      </c>
      <c r="J755">
        <v>4</v>
      </c>
      <c r="K755" t="s">
        <v>8</v>
      </c>
      <c r="L755" t="str">
        <f t="shared" si="11"/>
        <v>P</v>
      </c>
      <c r="M755" t="s">
        <v>3</v>
      </c>
      <c r="N755" t="s">
        <v>243</v>
      </c>
    </row>
    <row r="756" spans="1:15" x14ac:dyDescent="0.6">
      <c r="I756" s="2">
        <v>5</v>
      </c>
      <c r="J756">
        <v>5</v>
      </c>
      <c r="K756" t="s">
        <v>132</v>
      </c>
      <c r="L756" t="str">
        <f t="shared" si="11"/>
        <v>P</v>
      </c>
      <c r="M756" t="s">
        <v>4</v>
      </c>
      <c r="N756" t="s">
        <v>306</v>
      </c>
    </row>
    <row r="757" spans="1:15" x14ac:dyDescent="0.6">
      <c r="I757" s="2">
        <v>6</v>
      </c>
      <c r="J757">
        <v>6</v>
      </c>
      <c r="K757" t="s">
        <v>132</v>
      </c>
      <c r="L757" t="str">
        <f t="shared" si="11"/>
        <v>P</v>
      </c>
      <c r="M757" t="s">
        <v>3</v>
      </c>
      <c r="N757" t="s">
        <v>306</v>
      </c>
    </row>
    <row r="758" spans="1:15" x14ac:dyDescent="0.6">
      <c r="I758" s="2">
        <v>7</v>
      </c>
      <c r="J758">
        <v>7</v>
      </c>
      <c r="K758" t="s">
        <v>132</v>
      </c>
      <c r="L758" t="str">
        <f t="shared" si="11"/>
        <v>P</v>
      </c>
      <c r="M758" t="s">
        <v>4</v>
      </c>
      <c r="N758" t="s">
        <v>306</v>
      </c>
    </row>
    <row r="759" spans="1:15" x14ac:dyDescent="0.6">
      <c r="A759" t="s">
        <v>357</v>
      </c>
      <c r="B759" t="s">
        <v>117</v>
      </c>
      <c r="C759" t="s">
        <v>94</v>
      </c>
      <c r="D759" t="s">
        <v>3</v>
      </c>
      <c r="E759">
        <f>COUNTIF(M759:M766,"승")</f>
        <v>4</v>
      </c>
      <c r="F759">
        <f>COUNTA(M759:M766)-E759</f>
        <v>4</v>
      </c>
      <c r="G759" s="1">
        <f>E759/(E759+F759)</f>
        <v>0.5</v>
      </c>
      <c r="H759" s="1" t="s">
        <v>192</v>
      </c>
      <c r="I759" s="2">
        <v>1</v>
      </c>
      <c r="J759" t="s">
        <v>559</v>
      </c>
      <c r="K759" t="s">
        <v>132</v>
      </c>
      <c r="L759" t="str">
        <f t="shared" si="11"/>
        <v>P</v>
      </c>
      <c r="M759" t="s">
        <v>3</v>
      </c>
      <c r="N759" t="s">
        <v>353</v>
      </c>
      <c r="O759" t="s">
        <v>1289</v>
      </c>
    </row>
    <row r="760" spans="1:15" x14ac:dyDescent="0.6">
      <c r="I760" s="2">
        <v>2</v>
      </c>
      <c r="J760">
        <v>2</v>
      </c>
      <c r="K760" t="s">
        <v>283</v>
      </c>
      <c r="L760" t="str">
        <f t="shared" si="11"/>
        <v>Z</v>
      </c>
      <c r="M760" t="s">
        <v>3</v>
      </c>
      <c r="N760" t="s">
        <v>300</v>
      </c>
      <c r="O760" t="s">
        <v>1290</v>
      </c>
    </row>
    <row r="761" spans="1:15" x14ac:dyDescent="0.6">
      <c r="I761" s="2">
        <v>3</v>
      </c>
      <c r="J761">
        <v>3</v>
      </c>
      <c r="K761" t="s">
        <v>8</v>
      </c>
      <c r="L761" t="str">
        <f t="shared" si="11"/>
        <v>P</v>
      </c>
      <c r="M761" t="s">
        <v>4</v>
      </c>
      <c r="N761" t="s">
        <v>149</v>
      </c>
      <c r="O761" t="s">
        <v>1291</v>
      </c>
    </row>
    <row r="762" spans="1:15" x14ac:dyDescent="0.6">
      <c r="I762" s="2">
        <v>4</v>
      </c>
      <c r="J762">
        <v>4</v>
      </c>
      <c r="K762" t="s">
        <v>177</v>
      </c>
      <c r="L762" t="str">
        <f t="shared" si="11"/>
        <v>T</v>
      </c>
      <c r="M762" t="s">
        <v>3</v>
      </c>
      <c r="N762" t="s">
        <v>354</v>
      </c>
      <c r="O762" t="s">
        <v>1292</v>
      </c>
    </row>
    <row r="763" spans="1:15" x14ac:dyDescent="0.6">
      <c r="I763" s="2">
        <v>5</v>
      </c>
      <c r="J763" t="s">
        <v>559</v>
      </c>
      <c r="K763" t="s">
        <v>177</v>
      </c>
      <c r="L763" t="str">
        <f t="shared" si="11"/>
        <v>T</v>
      </c>
      <c r="M763" t="s">
        <v>4</v>
      </c>
      <c r="N763" t="s">
        <v>354</v>
      </c>
      <c r="O763" t="s">
        <v>1293</v>
      </c>
    </row>
    <row r="764" spans="1:15" x14ac:dyDescent="0.6">
      <c r="I764" s="2">
        <v>6</v>
      </c>
      <c r="J764">
        <v>2</v>
      </c>
      <c r="K764" t="s">
        <v>8</v>
      </c>
      <c r="L764" t="str">
        <f t="shared" si="11"/>
        <v>P</v>
      </c>
      <c r="M764" t="s">
        <v>4</v>
      </c>
      <c r="N764" t="s">
        <v>149</v>
      </c>
      <c r="O764" t="s">
        <v>1294</v>
      </c>
    </row>
    <row r="765" spans="1:15" x14ac:dyDescent="0.6">
      <c r="I765" s="2">
        <v>7</v>
      </c>
      <c r="J765">
        <v>3</v>
      </c>
      <c r="K765" t="s">
        <v>283</v>
      </c>
      <c r="L765" t="str">
        <f t="shared" si="11"/>
        <v>Z</v>
      </c>
      <c r="M765" t="s">
        <v>4</v>
      </c>
      <c r="N765" t="s">
        <v>300</v>
      </c>
      <c r="O765" t="s">
        <v>1295</v>
      </c>
    </row>
    <row r="766" spans="1:15" x14ac:dyDescent="0.6">
      <c r="I766" s="2">
        <v>8</v>
      </c>
      <c r="J766" t="s">
        <v>562</v>
      </c>
      <c r="K766" t="s">
        <v>8</v>
      </c>
      <c r="L766" t="str">
        <f t="shared" si="11"/>
        <v>P</v>
      </c>
      <c r="M766" t="s">
        <v>3</v>
      </c>
      <c r="N766" t="s">
        <v>149</v>
      </c>
      <c r="O766" t="s">
        <v>1296</v>
      </c>
    </row>
    <row r="767" spans="1:15" x14ac:dyDescent="0.6">
      <c r="A767" t="s">
        <v>1325</v>
      </c>
      <c r="B767" t="s">
        <v>224</v>
      </c>
      <c r="C767" t="s">
        <v>94</v>
      </c>
      <c r="D767" t="str">
        <f>IF(E767&gt;F767,"승",IF(E767&lt;F767,"패"))</f>
        <v>패</v>
      </c>
      <c r="E767">
        <f>COUNTIF(M767:M776,"승")</f>
        <v>4</v>
      </c>
      <c r="F767">
        <f>COUNTA(M767:M776)-E767</f>
        <v>6</v>
      </c>
      <c r="G767" s="1">
        <f>E767/(E767+F767)</f>
        <v>0.4</v>
      </c>
      <c r="H767" s="1" t="s">
        <v>119</v>
      </c>
      <c r="I767" s="2">
        <v>1</v>
      </c>
      <c r="J767" t="s">
        <v>559</v>
      </c>
      <c r="K767" t="s">
        <v>208</v>
      </c>
      <c r="L767" t="str">
        <f t="shared" si="11"/>
        <v>P</v>
      </c>
      <c r="M767" t="s">
        <v>4</v>
      </c>
      <c r="N767" t="s">
        <v>229</v>
      </c>
      <c r="O767" t="s">
        <v>1326</v>
      </c>
    </row>
    <row r="768" spans="1:15" x14ac:dyDescent="0.6">
      <c r="I768" s="2">
        <v>2</v>
      </c>
      <c r="J768">
        <v>2</v>
      </c>
      <c r="K768" t="s">
        <v>8</v>
      </c>
      <c r="L768" t="str">
        <f t="shared" si="11"/>
        <v>P</v>
      </c>
      <c r="M768" t="s">
        <v>4</v>
      </c>
      <c r="N768" t="s">
        <v>226</v>
      </c>
      <c r="O768" t="s">
        <v>1327</v>
      </c>
    </row>
    <row r="769" spans="1:15" x14ac:dyDescent="0.6">
      <c r="I769" s="2">
        <v>3</v>
      </c>
      <c r="J769">
        <v>3</v>
      </c>
      <c r="K769" t="s">
        <v>66</v>
      </c>
      <c r="L769" t="str">
        <f t="shared" si="11"/>
        <v>Z</v>
      </c>
      <c r="M769" t="s">
        <v>3</v>
      </c>
      <c r="N769" t="s">
        <v>305</v>
      </c>
      <c r="O769" t="s">
        <v>1328</v>
      </c>
    </row>
    <row r="770" spans="1:15" x14ac:dyDescent="0.6">
      <c r="I770" s="2">
        <v>4</v>
      </c>
      <c r="J770">
        <v>4</v>
      </c>
      <c r="K770" t="s">
        <v>217</v>
      </c>
      <c r="L770" t="str">
        <f t="shared" si="11"/>
        <v>T</v>
      </c>
      <c r="M770" t="s">
        <v>3</v>
      </c>
      <c r="N770" t="s">
        <v>250</v>
      </c>
      <c r="O770" t="s">
        <v>1329</v>
      </c>
    </row>
    <row r="771" spans="1:15" x14ac:dyDescent="0.6">
      <c r="I771" s="2">
        <v>5</v>
      </c>
      <c r="J771">
        <v>5</v>
      </c>
      <c r="K771" t="s">
        <v>8</v>
      </c>
      <c r="L771" t="str">
        <f t="shared" si="11"/>
        <v>P</v>
      </c>
      <c r="M771" t="s">
        <v>3</v>
      </c>
      <c r="N771" t="s">
        <v>226</v>
      </c>
      <c r="O771" t="s">
        <v>1330</v>
      </c>
    </row>
    <row r="772" spans="1:15" x14ac:dyDescent="0.6">
      <c r="I772" s="2">
        <v>6</v>
      </c>
      <c r="J772" t="s">
        <v>559</v>
      </c>
      <c r="K772" t="s">
        <v>217</v>
      </c>
      <c r="L772" t="str">
        <f t="shared" ref="L772:L835" si="12">INDEX($R$2:$R$99,MATCH(K772,$Q$2:$Q$99,0))</f>
        <v>T</v>
      </c>
      <c r="M772" t="s">
        <v>4</v>
      </c>
      <c r="N772" t="s">
        <v>250</v>
      </c>
      <c r="O772" t="s">
        <v>1331</v>
      </c>
    </row>
    <row r="773" spans="1:15" x14ac:dyDescent="0.6">
      <c r="I773" s="2">
        <v>7</v>
      </c>
      <c r="J773">
        <v>2</v>
      </c>
      <c r="K773" t="s">
        <v>66</v>
      </c>
      <c r="L773" t="str">
        <f t="shared" si="12"/>
        <v>Z</v>
      </c>
      <c r="M773" t="s">
        <v>3</v>
      </c>
      <c r="N773" t="s">
        <v>305</v>
      </c>
      <c r="O773" t="s">
        <v>1332</v>
      </c>
    </row>
    <row r="774" spans="1:15" x14ac:dyDescent="0.6">
      <c r="I774" s="2">
        <v>8</v>
      </c>
      <c r="J774">
        <v>3</v>
      </c>
      <c r="K774" t="s">
        <v>8</v>
      </c>
      <c r="L774" t="str">
        <f t="shared" si="12"/>
        <v>P</v>
      </c>
      <c r="M774" t="s">
        <v>4</v>
      </c>
      <c r="N774" t="s">
        <v>226</v>
      </c>
      <c r="O774" t="s">
        <v>1333</v>
      </c>
    </row>
    <row r="775" spans="1:15" x14ac:dyDescent="0.6">
      <c r="I775" s="2">
        <v>9</v>
      </c>
      <c r="J775">
        <v>4</v>
      </c>
      <c r="K775" t="s">
        <v>208</v>
      </c>
      <c r="L775" t="str">
        <f t="shared" si="12"/>
        <v>P</v>
      </c>
      <c r="M775" t="s">
        <v>4</v>
      </c>
      <c r="N775" t="s">
        <v>229</v>
      </c>
      <c r="O775" t="s">
        <v>1334</v>
      </c>
    </row>
    <row r="776" spans="1:15" x14ac:dyDescent="0.6">
      <c r="I776" s="2">
        <v>10</v>
      </c>
      <c r="J776" t="s">
        <v>562</v>
      </c>
      <c r="K776" t="s">
        <v>8</v>
      </c>
      <c r="L776" t="str">
        <f t="shared" si="12"/>
        <v>P</v>
      </c>
      <c r="M776" t="s">
        <v>4</v>
      </c>
      <c r="N776" t="s">
        <v>226</v>
      </c>
      <c r="O776" t="s">
        <v>1335</v>
      </c>
    </row>
    <row r="777" spans="1:15" x14ac:dyDescent="0.6">
      <c r="A777" t="s">
        <v>358</v>
      </c>
      <c r="B777" t="s">
        <v>100</v>
      </c>
      <c r="C777" t="s">
        <v>94</v>
      </c>
      <c r="D777" t="str">
        <f>IF(E777&gt;F777,"승",IF(E777&lt;F777,"패"))</f>
        <v>패</v>
      </c>
      <c r="E777">
        <f>COUNTIF(M777:M784,"승")</f>
        <v>2</v>
      </c>
      <c r="F777">
        <f>COUNTA(M777:M784)-E777</f>
        <v>6</v>
      </c>
      <c r="G777" s="1">
        <f>E777/(E777+F777)</f>
        <v>0.25</v>
      </c>
      <c r="H777" s="1" t="s">
        <v>144</v>
      </c>
      <c r="I777" s="2">
        <v>1</v>
      </c>
      <c r="J777" t="s">
        <v>559</v>
      </c>
      <c r="K777" t="s">
        <v>132</v>
      </c>
      <c r="L777" t="str">
        <f t="shared" si="12"/>
        <v>P</v>
      </c>
      <c r="M777" t="s">
        <v>4</v>
      </c>
      <c r="N777" t="s">
        <v>183</v>
      </c>
      <c r="O777" t="s">
        <v>1297</v>
      </c>
    </row>
    <row r="778" spans="1:15" x14ac:dyDescent="0.6">
      <c r="I778" s="2">
        <v>2</v>
      </c>
      <c r="J778">
        <v>2</v>
      </c>
      <c r="K778" t="s">
        <v>177</v>
      </c>
      <c r="L778" t="str">
        <f t="shared" si="12"/>
        <v>T</v>
      </c>
      <c r="M778" t="s">
        <v>3</v>
      </c>
      <c r="N778" t="s">
        <v>194</v>
      </c>
      <c r="O778" t="s">
        <v>1298</v>
      </c>
    </row>
    <row r="779" spans="1:15" x14ac:dyDescent="0.6">
      <c r="I779" s="2">
        <v>3</v>
      </c>
      <c r="J779">
        <v>3</v>
      </c>
      <c r="K779" t="s">
        <v>208</v>
      </c>
      <c r="L779" t="str">
        <f t="shared" si="12"/>
        <v>P</v>
      </c>
      <c r="M779" t="s">
        <v>4</v>
      </c>
      <c r="N779" t="s">
        <v>76</v>
      </c>
      <c r="O779" t="s">
        <v>1299</v>
      </c>
    </row>
    <row r="780" spans="1:15" x14ac:dyDescent="0.6">
      <c r="I780" s="2">
        <v>4</v>
      </c>
      <c r="J780">
        <v>4</v>
      </c>
      <c r="K780" t="s">
        <v>18</v>
      </c>
      <c r="L780" t="str">
        <f t="shared" si="12"/>
        <v>Z</v>
      </c>
      <c r="M780" t="s">
        <v>4</v>
      </c>
      <c r="N780" t="s">
        <v>39</v>
      </c>
      <c r="O780" t="s">
        <v>1300</v>
      </c>
    </row>
    <row r="781" spans="1:15" x14ac:dyDescent="0.6">
      <c r="I781" s="2">
        <v>5</v>
      </c>
      <c r="J781" t="s">
        <v>559</v>
      </c>
      <c r="K781" t="s">
        <v>18</v>
      </c>
      <c r="L781" t="str">
        <f t="shared" si="12"/>
        <v>Z</v>
      </c>
      <c r="M781" t="s">
        <v>3</v>
      </c>
      <c r="N781" t="s">
        <v>39</v>
      </c>
      <c r="O781" t="s">
        <v>1301</v>
      </c>
    </row>
    <row r="782" spans="1:15" x14ac:dyDescent="0.6">
      <c r="I782" s="2">
        <v>6</v>
      </c>
      <c r="J782">
        <v>2</v>
      </c>
      <c r="K782" t="s">
        <v>208</v>
      </c>
      <c r="L782" t="str">
        <f t="shared" si="12"/>
        <v>P</v>
      </c>
      <c r="M782" t="s">
        <v>4</v>
      </c>
      <c r="N782" t="s">
        <v>76</v>
      </c>
      <c r="O782" t="s">
        <v>1302</v>
      </c>
    </row>
    <row r="783" spans="1:15" x14ac:dyDescent="0.6">
      <c r="I783" s="2">
        <v>7</v>
      </c>
      <c r="J783">
        <v>3</v>
      </c>
      <c r="K783" t="s">
        <v>177</v>
      </c>
      <c r="L783" t="str">
        <f t="shared" si="12"/>
        <v>T</v>
      </c>
      <c r="M783" t="s">
        <v>4</v>
      </c>
      <c r="N783" t="s">
        <v>194</v>
      </c>
      <c r="O783" t="s">
        <v>1303</v>
      </c>
    </row>
    <row r="784" spans="1:15" x14ac:dyDescent="0.6">
      <c r="I784" s="2">
        <v>8</v>
      </c>
      <c r="J784">
        <v>4</v>
      </c>
      <c r="K784" t="s">
        <v>132</v>
      </c>
      <c r="L784" t="str">
        <f t="shared" si="12"/>
        <v>P</v>
      </c>
      <c r="M784" t="s">
        <v>4</v>
      </c>
      <c r="N784" t="s">
        <v>183</v>
      </c>
      <c r="O784" t="s">
        <v>1304</v>
      </c>
    </row>
    <row r="785" spans="1:15" x14ac:dyDescent="0.6">
      <c r="A785" t="s">
        <v>359</v>
      </c>
      <c r="B785" t="s">
        <v>117</v>
      </c>
      <c r="C785" t="s">
        <v>94</v>
      </c>
      <c r="D785" t="str">
        <f>IF(E785&gt;F785,"승",IF(E785&lt;F785,"패"))</f>
        <v>승</v>
      </c>
      <c r="E785">
        <f>COUNTIF(M785:M791,"승")</f>
        <v>6</v>
      </c>
      <c r="F785">
        <f>COUNTA(M785:M791)-E785</f>
        <v>1</v>
      </c>
      <c r="G785" s="1">
        <f>E785/(E785+F785)</f>
        <v>0.8571428571428571</v>
      </c>
      <c r="H785" s="1" t="s">
        <v>46</v>
      </c>
      <c r="I785" s="2">
        <v>1</v>
      </c>
      <c r="J785" t="s">
        <v>559</v>
      </c>
      <c r="K785" t="s">
        <v>132</v>
      </c>
      <c r="L785" t="str">
        <f t="shared" si="12"/>
        <v>P</v>
      </c>
      <c r="M785" t="s">
        <v>3</v>
      </c>
      <c r="N785" t="s">
        <v>353</v>
      </c>
      <c r="O785" t="s">
        <v>1305</v>
      </c>
    </row>
    <row r="786" spans="1:15" x14ac:dyDescent="0.6">
      <c r="I786" s="2">
        <v>2</v>
      </c>
      <c r="J786">
        <v>2</v>
      </c>
      <c r="K786" t="s">
        <v>37</v>
      </c>
      <c r="L786" t="str">
        <f t="shared" si="12"/>
        <v>Z</v>
      </c>
      <c r="M786" t="s">
        <v>3</v>
      </c>
      <c r="N786" t="s">
        <v>43</v>
      </c>
      <c r="O786" t="s">
        <v>1306</v>
      </c>
    </row>
    <row r="787" spans="1:15" x14ac:dyDescent="0.6">
      <c r="I787" s="2">
        <v>3</v>
      </c>
      <c r="J787">
        <v>3</v>
      </c>
      <c r="K787" t="s">
        <v>177</v>
      </c>
      <c r="L787" t="str">
        <f t="shared" si="12"/>
        <v>T</v>
      </c>
      <c r="M787" t="s">
        <v>3</v>
      </c>
      <c r="N787" t="s">
        <v>354</v>
      </c>
      <c r="O787" t="s">
        <v>1307</v>
      </c>
    </row>
    <row r="788" spans="1:15" x14ac:dyDescent="0.6">
      <c r="I788" s="2">
        <v>4</v>
      </c>
      <c r="J788" t="s">
        <v>559</v>
      </c>
      <c r="K788" t="s">
        <v>133</v>
      </c>
      <c r="L788" t="str">
        <f t="shared" si="12"/>
        <v>P</v>
      </c>
      <c r="M788" t="s">
        <v>3</v>
      </c>
      <c r="N788" t="s">
        <v>372</v>
      </c>
      <c r="O788" t="s">
        <v>1308</v>
      </c>
    </row>
    <row r="789" spans="1:15" x14ac:dyDescent="0.6">
      <c r="I789" s="2">
        <v>5</v>
      </c>
      <c r="J789">
        <v>2</v>
      </c>
      <c r="K789" t="s">
        <v>283</v>
      </c>
      <c r="L789" t="str">
        <f t="shared" si="12"/>
        <v>Z</v>
      </c>
      <c r="M789" t="s">
        <v>4</v>
      </c>
      <c r="N789" t="s">
        <v>300</v>
      </c>
      <c r="O789" t="s">
        <v>1309</v>
      </c>
    </row>
    <row r="790" spans="1:15" x14ac:dyDescent="0.6">
      <c r="I790" s="2">
        <v>6</v>
      </c>
      <c r="J790">
        <v>3</v>
      </c>
      <c r="K790" t="s">
        <v>177</v>
      </c>
      <c r="L790" t="str">
        <f t="shared" si="12"/>
        <v>T</v>
      </c>
      <c r="M790" t="s">
        <v>3</v>
      </c>
      <c r="N790" t="s">
        <v>354</v>
      </c>
      <c r="O790" t="s">
        <v>1310</v>
      </c>
    </row>
    <row r="791" spans="1:15" x14ac:dyDescent="0.6">
      <c r="I791" s="2">
        <v>7</v>
      </c>
      <c r="J791">
        <v>4</v>
      </c>
      <c r="K791" t="s">
        <v>37</v>
      </c>
      <c r="L791" t="str">
        <f t="shared" si="12"/>
        <v>Z</v>
      </c>
      <c r="M791" t="s">
        <v>3</v>
      </c>
      <c r="N791" t="s">
        <v>43</v>
      </c>
      <c r="O791" t="s">
        <v>1311</v>
      </c>
    </row>
    <row r="792" spans="1:15" x14ac:dyDescent="0.6">
      <c r="A792" t="s">
        <v>360</v>
      </c>
      <c r="B792" t="s">
        <v>23</v>
      </c>
      <c r="C792" t="s">
        <v>171</v>
      </c>
      <c r="D792" t="str">
        <f>IF(E792&gt;F792,"승",IF(E792&lt;F792,"패"))</f>
        <v>승</v>
      </c>
      <c r="E792">
        <f>COUNTIF(M792:M796,"승")</f>
        <v>5</v>
      </c>
      <c r="F792">
        <f>COUNTA(M792:M796)-E792</f>
        <v>0</v>
      </c>
      <c r="G792" s="1">
        <f>E792/(E792+F792)</f>
        <v>1</v>
      </c>
      <c r="H792" s="1"/>
      <c r="I792" s="2">
        <v>1</v>
      </c>
      <c r="J792" t="s">
        <v>559</v>
      </c>
      <c r="K792" t="s">
        <v>216</v>
      </c>
      <c r="L792" t="str">
        <f t="shared" si="12"/>
        <v>P</v>
      </c>
      <c r="M792" t="s">
        <v>3</v>
      </c>
      <c r="N792" t="s">
        <v>361</v>
      </c>
      <c r="O792" t="s">
        <v>1312</v>
      </c>
    </row>
    <row r="793" spans="1:15" x14ac:dyDescent="0.6">
      <c r="I793" s="2">
        <v>2</v>
      </c>
      <c r="J793">
        <v>2</v>
      </c>
      <c r="K793" t="s">
        <v>217</v>
      </c>
      <c r="L793" t="str">
        <f t="shared" si="12"/>
        <v>T</v>
      </c>
      <c r="M793" t="s">
        <v>3</v>
      </c>
      <c r="N793" t="s">
        <v>27</v>
      </c>
      <c r="O793" t="s">
        <v>1313</v>
      </c>
    </row>
    <row r="794" spans="1:15" x14ac:dyDescent="0.6">
      <c r="I794" s="2">
        <v>3</v>
      </c>
      <c r="J794">
        <v>3</v>
      </c>
      <c r="K794" t="s">
        <v>208</v>
      </c>
      <c r="L794" t="str">
        <f t="shared" si="12"/>
        <v>P</v>
      </c>
      <c r="M794" t="s">
        <v>3</v>
      </c>
      <c r="N794" t="s">
        <v>188</v>
      </c>
      <c r="O794" t="s">
        <v>1314</v>
      </c>
    </row>
    <row r="795" spans="1:15" x14ac:dyDescent="0.6">
      <c r="I795" s="2">
        <v>4</v>
      </c>
      <c r="J795">
        <v>4</v>
      </c>
      <c r="K795" t="s">
        <v>145</v>
      </c>
      <c r="L795" t="str">
        <f t="shared" si="12"/>
        <v>P</v>
      </c>
      <c r="M795" t="s">
        <v>3</v>
      </c>
      <c r="N795" t="s">
        <v>30</v>
      </c>
      <c r="O795" t="s">
        <v>1315</v>
      </c>
    </row>
    <row r="796" spans="1:15" x14ac:dyDescent="0.6">
      <c r="I796" s="2">
        <v>5</v>
      </c>
      <c r="J796">
        <v>5</v>
      </c>
      <c r="K796" t="s">
        <v>37</v>
      </c>
      <c r="L796" t="str">
        <f t="shared" si="12"/>
        <v>Z</v>
      </c>
      <c r="M796" t="s">
        <v>3</v>
      </c>
      <c r="N796" t="s">
        <v>26</v>
      </c>
      <c r="O796" t="s">
        <v>1316</v>
      </c>
    </row>
    <row r="797" spans="1:15" x14ac:dyDescent="0.6">
      <c r="A797" t="s">
        <v>362</v>
      </c>
      <c r="B797" t="s">
        <v>363</v>
      </c>
      <c r="C797" t="s">
        <v>55</v>
      </c>
      <c r="D797" t="str">
        <f>IF(E797&gt;F797,"승",IF(E797&lt;F797,"패"))</f>
        <v>패</v>
      </c>
      <c r="E797">
        <f>COUNTIF(M797:M804,"승")</f>
        <v>3</v>
      </c>
      <c r="F797">
        <f>COUNTA(M797:M804)-E797</f>
        <v>5</v>
      </c>
      <c r="G797" s="1">
        <f>E797/(E797+F797)</f>
        <v>0.375</v>
      </c>
      <c r="I797" s="2">
        <v>1</v>
      </c>
      <c r="J797" t="s">
        <v>559</v>
      </c>
      <c r="K797" t="s">
        <v>132</v>
      </c>
      <c r="L797" t="str">
        <f t="shared" si="12"/>
        <v>P</v>
      </c>
      <c r="M797" t="s">
        <v>3</v>
      </c>
      <c r="N797" t="s">
        <v>25</v>
      </c>
      <c r="O797" t="s">
        <v>1336</v>
      </c>
    </row>
    <row r="798" spans="1:15" x14ac:dyDescent="0.6">
      <c r="I798" s="2">
        <v>2</v>
      </c>
      <c r="J798">
        <v>2</v>
      </c>
      <c r="K798" t="s">
        <v>278</v>
      </c>
      <c r="L798" t="str">
        <f t="shared" si="12"/>
        <v>Z</v>
      </c>
      <c r="M798" t="s">
        <v>4</v>
      </c>
      <c r="N798" t="s">
        <v>78</v>
      </c>
      <c r="O798" t="s">
        <v>1337</v>
      </c>
    </row>
    <row r="799" spans="1:15" x14ac:dyDescent="0.6">
      <c r="I799" s="2">
        <v>3</v>
      </c>
      <c r="J799">
        <v>3</v>
      </c>
      <c r="K799" t="s">
        <v>18</v>
      </c>
      <c r="L799" t="str">
        <f t="shared" si="12"/>
        <v>Z</v>
      </c>
      <c r="M799" t="s">
        <v>4</v>
      </c>
      <c r="N799" t="s">
        <v>199</v>
      </c>
      <c r="O799" t="s">
        <v>1338</v>
      </c>
    </row>
    <row r="800" spans="1:15" x14ac:dyDescent="0.6">
      <c r="I800" s="2">
        <v>4</v>
      </c>
      <c r="J800">
        <v>4</v>
      </c>
      <c r="K800" t="s">
        <v>177</v>
      </c>
      <c r="L800" t="str">
        <f t="shared" si="12"/>
        <v>T</v>
      </c>
      <c r="M800" t="s">
        <v>4</v>
      </c>
      <c r="N800" t="s">
        <v>257</v>
      </c>
      <c r="O800" t="s">
        <v>1340</v>
      </c>
    </row>
    <row r="801" spans="1:15" x14ac:dyDescent="0.6">
      <c r="I801" s="2">
        <v>5</v>
      </c>
      <c r="J801">
        <v>5</v>
      </c>
      <c r="K801" t="s">
        <v>66</v>
      </c>
      <c r="L801" t="str">
        <f t="shared" si="12"/>
        <v>Z</v>
      </c>
      <c r="M801" t="s">
        <v>3</v>
      </c>
      <c r="N801" t="s">
        <v>318</v>
      </c>
      <c r="O801" t="s">
        <v>1339</v>
      </c>
    </row>
    <row r="802" spans="1:15" x14ac:dyDescent="0.6">
      <c r="I802" s="2">
        <v>6</v>
      </c>
      <c r="J802">
        <v>6</v>
      </c>
      <c r="K802" t="s">
        <v>208</v>
      </c>
      <c r="L802" t="str">
        <f t="shared" si="12"/>
        <v>P</v>
      </c>
      <c r="M802" t="s">
        <v>4</v>
      </c>
      <c r="N802" t="s">
        <v>206</v>
      </c>
      <c r="O802" t="s">
        <v>1342</v>
      </c>
    </row>
    <row r="803" spans="1:15" x14ac:dyDescent="0.6">
      <c r="I803" s="2">
        <v>7</v>
      </c>
      <c r="J803">
        <v>7</v>
      </c>
      <c r="K803" t="s">
        <v>208</v>
      </c>
      <c r="L803" t="str">
        <f t="shared" si="12"/>
        <v>P</v>
      </c>
      <c r="M803" t="s">
        <v>3</v>
      </c>
      <c r="N803" t="s">
        <v>206</v>
      </c>
      <c r="O803" t="s">
        <v>1341</v>
      </c>
    </row>
    <row r="804" spans="1:15" x14ac:dyDescent="0.6">
      <c r="I804" s="2">
        <v>8</v>
      </c>
      <c r="J804">
        <v>8</v>
      </c>
      <c r="K804" t="s">
        <v>66</v>
      </c>
      <c r="L804" t="str">
        <f t="shared" si="12"/>
        <v>Z</v>
      </c>
      <c r="M804" t="s">
        <v>4</v>
      </c>
      <c r="N804" t="s">
        <v>318</v>
      </c>
      <c r="O804" t="s">
        <v>1343</v>
      </c>
    </row>
    <row r="805" spans="1:15" x14ac:dyDescent="0.6">
      <c r="A805" t="s">
        <v>364</v>
      </c>
      <c r="B805" t="s">
        <v>23</v>
      </c>
      <c r="C805" t="s">
        <v>171</v>
      </c>
      <c r="D805" t="str">
        <f>IF(E805&gt;F805,"승",IF(E805&lt;F805,"패"))</f>
        <v>패</v>
      </c>
      <c r="E805">
        <f>COUNTIF(M805:M809,"승")</f>
        <v>1</v>
      </c>
      <c r="F805">
        <f>COUNTA(M805:M809)-E805</f>
        <v>4</v>
      </c>
      <c r="G805" s="1">
        <f>E805/(E805+F805)</f>
        <v>0.2</v>
      </c>
      <c r="H805" s="1"/>
      <c r="I805" s="2">
        <v>1</v>
      </c>
      <c r="J805" t="s">
        <v>559</v>
      </c>
      <c r="K805" t="s">
        <v>301</v>
      </c>
      <c r="L805" t="str">
        <f t="shared" si="12"/>
        <v>P</v>
      </c>
      <c r="M805" t="s">
        <v>4</v>
      </c>
      <c r="N805" t="s">
        <v>321</v>
      </c>
    </row>
    <row r="806" spans="1:15" x14ac:dyDescent="0.6">
      <c r="I806" s="2">
        <v>2</v>
      </c>
      <c r="J806">
        <v>2</v>
      </c>
      <c r="K806" t="s">
        <v>35</v>
      </c>
      <c r="L806" t="str">
        <f t="shared" si="12"/>
        <v>Z</v>
      </c>
      <c r="M806" t="s">
        <v>4</v>
      </c>
      <c r="N806" t="s">
        <v>365</v>
      </c>
    </row>
    <row r="807" spans="1:15" x14ac:dyDescent="0.6">
      <c r="I807" s="2">
        <v>3</v>
      </c>
      <c r="J807">
        <v>3</v>
      </c>
      <c r="K807" t="s">
        <v>37</v>
      </c>
      <c r="L807" t="str">
        <f t="shared" si="12"/>
        <v>Z</v>
      </c>
      <c r="M807" t="s">
        <v>4</v>
      </c>
      <c r="N807" t="s">
        <v>273</v>
      </c>
    </row>
    <row r="808" spans="1:15" x14ac:dyDescent="0.6">
      <c r="I808" s="2">
        <v>4</v>
      </c>
      <c r="J808">
        <v>4</v>
      </c>
      <c r="K808" t="s">
        <v>217</v>
      </c>
      <c r="L808" t="str">
        <f t="shared" si="12"/>
        <v>T</v>
      </c>
      <c r="M808" t="s">
        <v>3</v>
      </c>
      <c r="N808" t="s">
        <v>366</v>
      </c>
    </row>
    <row r="809" spans="1:15" x14ac:dyDescent="0.6">
      <c r="I809" s="2">
        <v>5</v>
      </c>
      <c r="J809">
        <v>5</v>
      </c>
      <c r="K809" t="s">
        <v>145</v>
      </c>
      <c r="L809" t="str">
        <f t="shared" si="12"/>
        <v>P</v>
      </c>
      <c r="M809" t="s">
        <v>4</v>
      </c>
      <c r="N809" t="s">
        <v>249</v>
      </c>
    </row>
    <row r="810" spans="1:15" x14ac:dyDescent="0.6">
      <c r="A810" t="s">
        <v>367</v>
      </c>
      <c r="B810" t="s">
        <v>368</v>
      </c>
      <c r="C810" t="s">
        <v>94</v>
      </c>
      <c r="D810" t="str">
        <f>IF(E810&gt;F810,"승",IF(E810&lt;F810,"패"))</f>
        <v>승</v>
      </c>
      <c r="E810">
        <f>COUNTIF(M810:M817,"승")</f>
        <v>6</v>
      </c>
      <c r="F810">
        <f>COUNTA(M810:M817)-E810</f>
        <v>2</v>
      </c>
      <c r="G810" s="1">
        <f>E810/(E810+F810)</f>
        <v>0.75</v>
      </c>
      <c r="H810" s="1" t="s">
        <v>46</v>
      </c>
      <c r="I810" s="2">
        <v>1</v>
      </c>
      <c r="J810" t="s">
        <v>559</v>
      </c>
      <c r="K810" t="s">
        <v>132</v>
      </c>
      <c r="L810" t="str">
        <f t="shared" si="12"/>
        <v>P</v>
      </c>
      <c r="M810" t="s">
        <v>4</v>
      </c>
      <c r="N810" t="s">
        <v>349</v>
      </c>
      <c r="O810" t="s">
        <v>1344</v>
      </c>
    </row>
    <row r="811" spans="1:15" x14ac:dyDescent="0.6">
      <c r="I811" s="2">
        <v>2</v>
      </c>
      <c r="J811">
        <v>2</v>
      </c>
      <c r="K811" t="s">
        <v>177</v>
      </c>
      <c r="L811" t="str">
        <f t="shared" si="12"/>
        <v>T</v>
      </c>
      <c r="M811" t="s">
        <v>3</v>
      </c>
      <c r="N811" t="s">
        <v>289</v>
      </c>
      <c r="O811" t="s">
        <v>1345</v>
      </c>
    </row>
    <row r="812" spans="1:15" x14ac:dyDescent="0.6">
      <c r="I812" s="2">
        <v>3</v>
      </c>
      <c r="J812">
        <v>3</v>
      </c>
      <c r="K812" t="s">
        <v>18</v>
      </c>
      <c r="L812" t="str">
        <f t="shared" si="12"/>
        <v>Z</v>
      </c>
      <c r="M812" t="s">
        <v>3</v>
      </c>
      <c r="N812" t="s">
        <v>369</v>
      </c>
      <c r="O812" t="s">
        <v>1346</v>
      </c>
    </row>
    <row r="813" spans="1:15" x14ac:dyDescent="0.6">
      <c r="I813" s="2">
        <v>4</v>
      </c>
      <c r="J813">
        <v>4</v>
      </c>
      <c r="K813" t="s">
        <v>133</v>
      </c>
      <c r="L813" t="str">
        <f t="shared" si="12"/>
        <v>P</v>
      </c>
      <c r="M813" t="s">
        <v>3</v>
      </c>
      <c r="N813" t="s">
        <v>98</v>
      </c>
      <c r="O813" t="s">
        <v>1347</v>
      </c>
    </row>
    <row r="814" spans="1:15" x14ac:dyDescent="0.6">
      <c r="I814" s="2">
        <v>5</v>
      </c>
      <c r="J814" t="s">
        <v>559</v>
      </c>
      <c r="K814" t="s">
        <v>177</v>
      </c>
      <c r="L814" t="str">
        <f t="shared" si="12"/>
        <v>T</v>
      </c>
      <c r="M814" t="s">
        <v>4</v>
      </c>
      <c r="N814" t="s">
        <v>289</v>
      </c>
      <c r="O814" t="s">
        <v>1348</v>
      </c>
    </row>
    <row r="815" spans="1:15" x14ac:dyDescent="0.6">
      <c r="I815" s="2">
        <v>6</v>
      </c>
      <c r="J815">
        <v>2</v>
      </c>
      <c r="K815" t="s">
        <v>18</v>
      </c>
      <c r="L815" t="str">
        <f t="shared" si="12"/>
        <v>Z</v>
      </c>
      <c r="M815" t="s">
        <v>3</v>
      </c>
      <c r="N815" t="s">
        <v>369</v>
      </c>
      <c r="O815" t="s">
        <v>1349</v>
      </c>
    </row>
    <row r="816" spans="1:15" x14ac:dyDescent="0.6">
      <c r="I816" s="2">
        <v>7</v>
      </c>
      <c r="J816">
        <v>3</v>
      </c>
      <c r="K816" t="s">
        <v>132</v>
      </c>
      <c r="L816" t="str">
        <f t="shared" si="12"/>
        <v>P</v>
      </c>
      <c r="M816" t="s">
        <v>3</v>
      </c>
      <c r="N816" t="s">
        <v>349</v>
      </c>
      <c r="O816" t="s">
        <v>1350</v>
      </c>
    </row>
    <row r="817" spans="1:15" x14ac:dyDescent="0.6">
      <c r="I817" s="2">
        <v>8</v>
      </c>
      <c r="J817">
        <v>4</v>
      </c>
      <c r="K817" t="s">
        <v>133</v>
      </c>
      <c r="L817" t="str">
        <f t="shared" si="12"/>
        <v>P</v>
      </c>
      <c r="M817" t="s">
        <v>3</v>
      </c>
      <c r="N817" t="s">
        <v>98</v>
      </c>
      <c r="O817" t="s">
        <v>1351</v>
      </c>
    </row>
    <row r="818" spans="1:15" x14ac:dyDescent="0.6">
      <c r="A818" t="s">
        <v>370</v>
      </c>
      <c r="B818" t="s">
        <v>224</v>
      </c>
      <c r="C818" t="s">
        <v>94</v>
      </c>
      <c r="D818" t="str">
        <f>IF(E818&gt;F818,"승",IF(E818&lt;F818,"패"))</f>
        <v>패</v>
      </c>
      <c r="E818">
        <f>COUNTIF(M818:M825,"승")</f>
        <v>2</v>
      </c>
      <c r="F818">
        <f>COUNTA(M818:M825)-E818</f>
        <v>6</v>
      </c>
      <c r="G818" s="1">
        <f>E818/(E818+F818)</f>
        <v>0.25</v>
      </c>
      <c r="H818" s="1" t="s">
        <v>144</v>
      </c>
      <c r="I818" s="2">
        <v>1</v>
      </c>
      <c r="J818" t="s">
        <v>559</v>
      </c>
      <c r="K818" t="s">
        <v>8</v>
      </c>
      <c r="L818" t="str">
        <f t="shared" si="12"/>
        <v>P</v>
      </c>
      <c r="M818" t="s">
        <v>3</v>
      </c>
      <c r="N818" t="s">
        <v>226</v>
      </c>
      <c r="O818" t="s">
        <v>1352</v>
      </c>
    </row>
    <row r="819" spans="1:15" x14ac:dyDescent="0.6">
      <c r="I819" s="2">
        <v>2</v>
      </c>
      <c r="J819">
        <v>2</v>
      </c>
      <c r="K819" t="s">
        <v>278</v>
      </c>
      <c r="L819" t="str">
        <f t="shared" si="12"/>
        <v>Z</v>
      </c>
      <c r="M819" t="s">
        <v>4</v>
      </c>
      <c r="N819" t="s">
        <v>230</v>
      </c>
      <c r="O819" t="s">
        <v>1353</v>
      </c>
    </row>
    <row r="820" spans="1:15" x14ac:dyDescent="0.6">
      <c r="I820" s="2">
        <v>3</v>
      </c>
      <c r="J820">
        <v>3</v>
      </c>
      <c r="K820" t="s">
        <v>208</v>
      </c>
      <c r="L820" t="str">
        <f t="shared" si="12"/>
        <v>P</v>
      </c>
      <c r="M820" t="s">
        <v>3</v>
      </c>
      <c r="N820" t="s">
        <v>229</v>
      </c>
      <c r="O820" t="s">
        <v>1355</v>
      </c>
    </row>
    <row r="821" spans="1:15" x14ac:dyDescent="0.6">
      <c r="I821" s="2">
        <v>4</v>
      </c>
      <c r="J821">
        <v>4</v>
      </c>
      <c r="K821" t="s">
        <v>177</v>
      </c>
      <c r="L821" t="str">
        <f t="shared" si="12"/>
        <v>T</v>
      </c>
      <c r="M821" t="s">
        <v>4</v>
      </c>
      <c r="N821" t="s">
        <v>344</v>
      </c>
      <c r="O821" t="s">
        <v>1354</v>
      </c>
    </row>
    <row r="822" spans="1:15" x14ac:dyDescent="0.6">
      <c r="I822" s="2">
        <v>5</v>
      </c>
      <c r="J822">
        <v>5</v>
      </c>
      <c r="K822" t="s">
        <v>278</v>
      </c>
      <c r="L822" t="str">
        <f t="shared" si="12"/>
        <v>Z</v>
      </c>
      <c r="M822" t="s">
        <v>4</v>
      </c>
      <c r="N822" t="s">
        <v>230</v>
      </c>
      <c r="O822" t="s">
        <v>1356</v>
      </c>
    </row>
    <row r="823" spans="1:15" x14ac:dyDescent="0.6">
      <c r="I823" s="2">
        <v>6</v>
      </c>
      <c r="J823" t="s">
        <v>559</v>
      </c>
      <c r="K823" t="s">
        <v>177</v>
      </c>
      <c r="L823" t="str">
        <f t="shared" si="12"/>
        <v>T</v>
      </c>
      <c r="M823" t="s">
        <v>4</v>
      </c>
      <c r="N823" t="s">
        <v>344</v>
      </c>
      <c r="O823" t="s">
        <v>1357</v>
      </c>
    </row>
    <row r="824" spans="1:15" x14ac:dyDescent="0.6">
      <c r="I824" s="2">
        <v>7</v>
      </c>
      <c r="J824">
        <v>2</v>
      </c>
      <c r="K824" t="s">
        <v>208</v>
      </c>
      <c r="L824" t="str">
        <f t="shared" si="12"/>
        <v>P</v>
      </c>
      <c r="M824" t="s">
        <v>4</v>
      </c>
      <c r="N824" t="s">
        <v>229</v>
      </c>
      <c r="O824" t="s">
        <v>1358</v>
      </c>
    </row>
    <row r="825" spans="1:15" x14ac:dyDescent="0.6">
      <c r="I825" s="2">
        <v>8</v>
      </c>
      <c r="J825">
        <v>3</v>
      </c>
      <c r="K825" t="s">
        <v>278</v>
      </c>
      <c r="L825" t="str">
        <f t="shared" si="12"/>
        <v>Z</v>
      </c>
      <c r="M825" t="s">
        <v>4</v>
      </c>
      <c r="N825" t="s">
        <v>230</v>
      </c>
      <c r="O825" t="s">
        <v>1359</v>
      </c>
    </row>
    <row r="826" spans="1:15" x14ac:dyDescent="0.6">
      <c r="A826" t="s">
        <v>371</v>
      </c>
      <c r="B826" t="s">
        <v>346</v>
      </c>
      <c r="C826" t="s">
        <v>55</v>
      </c>
      <c r="D826" t="str">
        <f>IF(E826&gt;F826,"승",IF(E826&lt;F826,"패"))</f>
        <v>패</v>
      </c>
      <c r="E826">
        <f>COUNTIF(M826:M833,"승")</f>
        <v>3</v>
      </c>
      <c r="F826">
        <f>COUNTA(M826:M833)-E826</f>
        <v>5</v>
      </c>
      <c r="G826" s="1">
        <f>E826/(E826+F826)</f>
        <v>0.375</v>
      </c>
      <c r="H826" s="1"/>
      <c r="I826" s="2">
        <v>1</v>
      </c>
      <c r="J826" t="s">
        <v>559</v>
      </c>
      <c r="K826" t="s">
        <v>208</v>
      </c>
      <c r="L826" t="str">
        <f t="shared" si="12"/>
        <v>P</v>
      </c>
      <c r="M826" t="s">
        <v>3</v>
      </c>
      <c r="N826" t="s">
        <v>178</v>
      </c>
      <c r="O826" t="s">
        <v>1360</v>
      </c>
    </row>
    <row r="827" spans="1:15" x14ac:dyDescent="0.6">
      <c r="I827" s="2">
        <v>2</v>
      </c>
      <c r="J827">
        <v>2</v>
      </c>
      <c r="K827" t="s">
        <v>177</v>
      </c>
      <c r="L827" t="str">
        <f t="shared" si="12"/>
        <v>T</v>
      </c>
      <c r="M827" t="s">
        <v>4</v>
      </c>
      <c r="N827" t="s">
        <v>58</v>
      </c>
      <c r="O827" t="s">
        <v>1361</v>
      </c>
    </row>
    <row r="828" spans="1:15" x14ac:dyDescent="0.6">
      <c r="I828" s="2">
        <v>3</v>
      </c>
      <c r="J828">
        <v>3</v>
      </c>
      <c r="K828" t="s">
        <v>18</v>
      </c>
      <c r="L828" t="str">
        <f t="shared" si="12"/>
        <v>Z</v>
      </c>
      <c r="M828" t="s">
        <v>4</v>
      </c>
      <c r="N828" t="s">
        <v>372</v>
      </c>
      <c r="O828" t="s">
        <v>1362</v>
      </c>
    </row>
    <row r="829" spans="1:15" x14ac:dyDescent="0.6">
      <c r="I829" s="2">
        <v>4</v>
      </c>
      <c r="J829">
        <v>4</v>
      </c>
      <c r="K829" t="s">
        <v>8</v>
      </c>
      <c r="L829" t="str">
        <f t="shared" si="12"/>
        <v>P</v>
      </c>
      <c r="M829" t="s">
        <v>4</v>
      </c>
      <c r="N829" t="s">
        <v>153</v>
      </c>
      <c r="O829" t="s">
        <v>1363</v>
      </c>
    </row>
    <row r="830" spans="1:15" x14ac:dyDescent="0.6">
      <c r="I830" s="2">
        <v>5</v>
      </c>
      <c r="J830">
        <v>5</v>
      </c>
      <c r="K830" t="s">
        <v>133</v>
      </c>
      <c r="L830" t="str">
        <f t="shared" si="12"/>
        <v>P</v>
      </c>
      <c r="M830" t="s">
        <v>3</v>
      </c>
      <c r="N830" t="s">
        <v>373</v>
      </c>
      <c r="O830" t="s">
        <v>1364</v>
      </c>
    </row>
    <row r="831" spans="1:15" x14ac:dyDescent="0.6">
      <c r="I831" s="2">
        <v>6</v>
      </c>
      <c r="J831">
        <v>6</v>
      </c>
      <c r="K831" t="s">
        <v>145</v>
      </c>
      <c r="L831" t="str">
        <f t="shared" si="12"/>
        <v>P</v>
      </c>
      <c r="M831" t="s">
        <v>4</v>
      </c>
      <c r="N831" t="s">
        <v>249</v>
      </c>
      <c r="O831" t="s">
        <v>1365</v>
      </c>
    </row>
    <row r="832" spans="1:15" x14ac:dyDescent="0.6">
      <c r="I832" s="2">
        <v>7</v>
      </c>
      <c r="J832">
        <v>7</v>
      </c>
      <c r="K832" t="s">
        <v>66</v>
      </c>
      <c r="L832" t="str">
        <f t="shared" si="12"/>
        <v>Z</v>
      </c>
      <c r="M832" t="s">
        <v>3</v>
      </c>
      <c r="N832" t="s">
        <v>291</v>
      </c>
      <c r="O832" t="s">
        <v>1366</v>
      </c>
    </row>
    <row r="833" spans="1:15" x14ac:dyDescent="0.6">
      <c r="I833" s="2">
        <v>8</v>
      </c>
      <c r="J833">
        <v>8</v>
      </c>
      <c r="K833" t="s">
        <v>145</v>
      </c>
      <c r="L833" t="str">
        <f t="shared" si="12"/>
        <v>P</v>
      </c>
      <c r="M833" t="s">
        <v>4</v>
      </c>
      <c r="N833" t="s">
        <v>249</v>
      </c>
      <c r="O833" t="s">
        <v>1367</v>
      </c>
    </row>
    <row r="834" spans="1:15" x14ac:dyDescent="0.6">
      <c r="A834" t="s">
        <v>374</v>
      </c>
      <c r="B834" t="s">
        <v>187</v>
      </c>
      <c r="C834" t="s">
        <v>94</v>
      </c>
      <c r="D834" t="str">
        <f>IF(E834&gt;F834,"승",IF(E834&lt;F834,"패"))</f>
        <v>승</v>
      </c>
      <c r="E834">
        <f>COUNTIF(M834:M840,"승")</f>
        <v>4</v>
      </c>
      <c r="F834">
        <f>COUNTA(M834:M840)-E834</f>
        <v>3</v>
      </c>
      <c r="G834" s="1">
        <f>E834/(E834+F834)</f>
        <v>0.5714285714285714</v>
      </c>
      <c r="H834" s="1"/>
      <c r="I834" s="2">
        <v>1</v>
      </c>
      <c r="J834" t="s">
        <v>559</v>
      </c>
      <c r="K834" t="s">
        <v>208</v>
      </c>
      <c r="L834" t="str">
        <f t="shared" si="12"/>
        <v>P</v>
      </c>
      <c r="M834" t="s">
        <v>4</v>
      </c>
      <c r="N834" t="s">
        <v>188</v>
      </c>
    </row>
    <row r="835" spans="1:15" x14ac:dyDescent="0.6">
      <c r="I835" s="2">
        <v>2</v>
      </c>
      <c r="J835">
        <v>2</v>
      </c>
      <c r="K835" t="s">
        <v>278</v>
      </c>
      <c r="L835" t="str">
        <f t="shared" si="12"/>
        <v>Z</v>
      </c>
      <c r="M835" t="s">
        <v>3</v>
      </c>
      <c r="N835" t="s">
        <v>259</v>
      </c>
    </row>
    <row r="836" spans="1:15" x14ac:dyDescent="0.6">
      <c r="I836" s="2">
        <v>3</v>
      </c>
      <c r="J836">
        <v>3</v>
      </c>
      <c r="K836" t="s">
        <v>132</v>
      </c>
      <c r="L836" t="str">
        <f t="shared" ref="L836:L899" si="13">INDEX($R$2:$R$99,MATCH(K836,$Q$2:$Q$99,0))</f>
        <v>P</v>
      </c>
      <c r="M836" t="s">
        <v>3</v>
      </c>
      <c r="N836" t="s">
        <v>375</v>
      </c>
    </row>
    <row r="837" spans="1:15" x14ac:dyDescent="0.6">
      <c r="I837" s="2">
        <v>4</v>
      </c>
      <c r="J837">
        <v>4</v>
      </c>
      <c r="K837" t="s">
        <v>278</v>
      </c>
      <c r="L837" t="str">
        <f t="shared" si="13"/>
        <v>Z</v>
      </c>
      <c r="M837" t="s">
        <v>3</v>
      </c>
      <c r="N837" t="s">
        <v>190</v>
      </c>
    </row>
    <row r="838" spans="1:15" x14ac:dyDescent="0.6">
      <c r="I838" s="2">
        <v>5</v>
      </c>
      <c r="J838">
        <v>5</v>
      </c>
      <c r="K838" t="s">
        <v>132</v>
      </c>
      <c r="L838" t="str">
        <f t="shared" si="13"/>
        <v>P</v>
      </c>
      <c r="M838" t="s">
        <v>4</v>
      </c>
      <c r="N838" t="s">
        <v>376</v>
      </c>
    </row>
    <row r="839" spans="1:15" x14ac:dyDescent="0.6">
      <c r="I839" s="2">
        <v>6</v>
      </c>
      <c r="J839">
        <v>6</v>
      </c>
      <c r="K839" t="s">
        <v>208</v>
      </c>
      <c r="L839" t="str">
        <f t="shared" si="13"/>
        <v>P</v>
      </c>
      <c r="M839" t="s">
        <v>4</v>
      </c>
      <c r="N839" t="s">
        <v>188</v>
      </c>
    </row>
    <row r="840" spans="1:15" x14ac:dyDescent="0.6">
      <c r="I840" s="2">
        <v>7</v>
      </c>
      <c r="J840">
        <v>7</v>
      </c>
      <c r="K840" t="s">
        <v>278</v>
      </c>
      <c r="L840" t="str">
        <f t="shared" si="13"/>
        <v>Z</v>
      </c>
      <c r="M840" t="s">
        <v>3</v>
      </c>
      <c r="N840" t="s">
        <v>259</v>
      </c>
    </row>
    <row r="841" spans="1:15" x14ac:dyDescent="0.6">
      <c r="A841" t="s">
        <v>379</v>
      </c>
      <c r="B841" t="s">
        <v>187</v>
      </c>
      <c r="C841" t="s">
        <v>94</v>
      </c>
      <c r="D841" t="s">
        <v>4</v>
      </c>
      <c r="E841">
        <f>COUNTIF(M841:M850,"승")</f>
        <v>5</v>
      </c>
      <c r="F841">
        <f>COUNTA(M841:M850)-E841</f>
        <v>5</v>
      </c>
      <c r="G841" s="1">
        <f>E841/(E841+F841)</f>
        <v>0.5</v>
      </c>
      <c r="H841" s="1" t="s">
        <v>119</v>
      </c>
      <c r="I841" s="2">
        <v>1</v>
      </c>
      <c r="J841" t="s">
        <v>559</v>
      </c>
      <c r="K841" t="s">
        <v>208</v>
      </c>
      <c r="L841" t="str">
        <f t="shared" si="13"/>
        <v>P</v>
      </c>
      <c r="M841" t="s">
        <v>3</v>
      </c>
      <c r="N841" t="s">
        <v>188</v>
      </c>
    </row>
    <row r="842" spans="1:15" x14ac:dyDescent="0.6">
      <c r="I842" s="2">
        <v>2</v>
      </c>
      <c r="K842" t="s">
        <v>278</v>
      </c>
      <c r="L842" t="str">
        <f t="shared" si="13"/>
        <v>Z</v>
      </c>
      <c r="M842" t="s">
        <v>4</v>
      </c>
      <c r="N842" t="s">
        <v>190</v>
      </c>
    </row>
    <row r="843" spans="1:15" x14ac:dyDescent="0.6">
      <c r="I843" s="2">
        <v>3</v>
      </c>
      <c r="K843" t="s">
        <v>145</v>
      </c>
      <c r="L843" t="str">
        <f t="shared" si="13"/>
        <v>P</v>
      </c>
      <c r="M843" t="s">
        <v>3</v>
      </c>
      <c r="N843" t="s">
        <v>377</v>
      </c>
    </row>
    <row r="844" spans="1:15" x14ac:dyDescent="0.6">
      <c r="I844" s="2">
        <v>4</v>
      </c>
      <c r="K844" t="s">
        <v>37</v>
      </c>
      <c r="L844" t="str">
        <f t="shared" si="13"/>
        <v>Z</v>
      </c>
      <c r="M844" t="s">
        <v>3</v>
      </c>
      <c r="N844" t="s">
        <v>26</v>
      </c>
    </row>
    <row r="845" spans="1:15" x14ac:dyDescent="0.6">
      <c r="I845" s="2">
        <v>5</v>
      </c>
      <c r="J845" t="s">
        <v>559</v>
      </c>
      <c r="K845" t="s">
        <v>278</v>
      </c>
      <c r="L845" t="str">
        <f t="shared" si="13"/>
        <v>Z</v>
      </c>
      <c r="M845" t="s">
        <v>3</v>
      </c>
      <c r="N845" t="s">
        <v>190</v>
      </c>
    </row>
    <row r="846" spans="1:15" x14ac:dyDescent="0.6">
      <c r="I846" s="2">
        <v>6</v>
      </c>
      <c r="K846" t="s">
        <v>208</v>
      </c>
      <c r="L846" t="str">
        <f t="shared" si="13"/>
        <v>P</v>
      </c>
      <c r="M846" t="s">
        <v>4</v>
      </c>
      <c r="N846" t="s">
        <v>188</v>
      </c>
    </row>
    <row r="847" spans="1:15" x14ac:dyDescent="0.6">
      <c r="I847" s="2">
        <v>7</v>
      </c>
      <c r="K847" t="s">
        <v>145</v>
      </c>
      <c r="L847" t="str">
        <f t="shared" si="13"/>
        <v>P</v>
      </c>
      <c r="M847" t="s">
        <v>3</v>
      </c>
      <c r="N847" t="s">
        <v>26</v>
      </c>
    </row>
    <row r="848" spans="1:15" x14ac:dyDescent="0.6">
      <c r="I848" s="2">
        <v>8</v>
      </c>
      <c r="K848" t="s">
        <v>37</v>
      </c>
      <c r="L848" t="str">
        <f t="shared" si="13"/>
        <v>Z</v>
      </c>
      <c r="M848" t="s">
        <v>4</v>
      </c>
      <c r="N848" t="s">
        <v>377</v>
      </c>
    </row>
    <row r="849" spans="1:15" x14ac:dyDescent="0.6">
      <c r="I849" s="2">
        <v>9</v>
      </c>
      <c r="K849" t="s">
        <v>208</v>
      </c>
      <c r="L849" t="str">
        <f>INDEX($R$2:$R$99,MATCH(K849,$Q$2:$Q$99,0))</f>
        <v>P</v>
      </c>
      <c r="M849" t="s">
        <v>4</v>
      </c>
      <c r="N849" t="s">
        <v>188</v>
      </c>
    </row>
    <row r="850" spans="1:15" x14ac:dyDescent="0.6">
      <c r="I850" s="2">
        <v>10</v>
      </c>
      <c r="J850" t="s">
        <v>562</v>
      </c>
      <c r="K850" t="s">
        <v>145</v>
      </c>
      <c r="L850" t="str">
        <f t="shared" si="13"/>
        <v>P</v>
      </c>
      <c r="M850" t="s">
        <v>4</v>
      </c>
      <c r="N850" t="s">
        <v>26</v>
      </c>
    </row>
    <row r="851" spans="1:15" x14ac:dyDescent="0.6">
      <c r="A851" t="s">
        <v>378</v>
      </c>
      <c r="B851" t="s">
        <v>131</v>
      </c>
      <c r="C851" t="s">
        <v>94</v>
      </c>
      <c r="D851" t="str">
        <f>IF(E851&gt;F851,"승",IF(E851&lt;F851,"패"))</f>
        <v>패</v>
      </c>
      <c r="E851">
        <f>COUNTIF(M851:M857,"승")</f>
        <v>1</v>
      </c>
      <c r="F851">
        <f>COUNTA(M851:M857)-E851</f>
        <v>6</v>
      </c>
      <c r="G851" s="1">
        <f>E851/(E851+F851)</f>
        <v>0.14285714285714285</v>
      </c>
      <c r="H851" s="1" t="s">
        <v>119</v>
      </c>
      <c r="I851" s="2">
        <v>1</v>
      </c>
      <c r="J851" t="s">
        <v>559</v>
      </c>
      <c r="K851" t="s">
        <v>177</v>
      </c>
      <c r="L851" t="str">
        <f t="shared" si="13"/>
        <v>T</v>
      </c>
      <c r="M851" t="s">
        <v>3</v>
      </c>
      <c r="N851" t="s">
        <v>277</v>
      </c>
      <c r="O851" t="s">
        <v>1368</v>
      </c>
    </row>
    <row r="852" spans="1:15" x14ac:dyDescent="0.6">
      <c r="I852" s="2">
        <v>2</v>
      </c>
      <c r="J852">
        <v>2</v>
      </c>
      <c r="K852" t="s">
        <v>133</v>
      </c>
      <c r="L852" t="str">
        <f t="shared" si="13"/>
        <v>P</v>
      </c>
      <c r="M852" t="s">
        <v>4</v>
      </c>
      <c r="N852" t="s">
        <v>20</v>
      </c>
      <c r="O852" t="s">
        <v>1369</v>
      </c>
    </row>
    <row r="853" spans="1:15" x14ac:dyDescent="0.6">
      <c r="I853" s="2">
        <v>3</v>
      </c>
      <c r="J853">
        <v>3</v>
      </c>
      <c r="K853" t="s">
        <v>66</v>
      </c>
      <c r="L853" t="str">
        <f t="shared" si="13"/>
        <v>Z</v>
      </c>
      <c r="M853" t="s">
        <v>4</v>
      </c>
      <c r="N853" t="s">
        <v>135</v>
      </c>
      <c r="O853" t="s">
        <v>1370</v>
      </c>
    </row>
    <row r="854" spans="1:15" x14ac:dyDescent="0.6">
      <c r="I854" s="2">
        <v>4</v>
      </c>
      <c r="J854">
        <v>4</v>
      </c>
      <c r="K854" t="s">
        <v>278</v>
      </c>
      <c r="L854" t="str">
        <f t="shared" si="13"/>
        <v>Z</v>
      </c>
      <c r="M854" t="s">
        <v>4</v>
      </c>
      <c r="N854" t="s">
        <v>120</v>
      </c>
      <c r="O854" t="s">
        <v>1371</v>
      </c>
    </row>
    <row r="855" spans="1:15" x14ac:dyDescent="0.6">
      <c r="I855" s="2">
        <v>5</v>
      </c>
      <c r="J855" t="s">
        <v>559</v>
      </c>
      <c r="K855" t="s">
        <v>66</v>
      </c>
      <c r="L855" t="str">
        <f t="shared" si="13"/>
        <v>Z</v>
      </c>
      <c r="M855" t="s">
        <v>4</v>
      </c>
      <c r="N855" t="s">
        <v>277</v>
      </c>
      <c r="O855" t="s">
        <v>1372</v>
      </c>
    </row>
    <row r="856" spans="1:15" x14ac:dyDescent="0.6">
      <c r="I856" s="2">
        <v>6</v>
      </c>
      <c r="J856">
        <v>2</v>
      </c>
      <c r="K856" t="s">
        <v>278</v>
      </c>
      <c r="L856" t="str">
        <f t="shared" si="13"/>
        <v>Z</v>
      </c>
      <c r="M856" t="s">
        <v>4</v>
      </c>
      <c r="N856" t="s">
        <v>120</v>
      </c>
      <c r="O856" t="s">
        <v>1373</v>
      </c>
    </row>
    <row r="857" spans="1:15" x14ac:dyDescent="0.6">
      <c r="I857" s="2">
        <v>7</v>
      </c>
      <c r="J857">
        <v>3</v>
      </c>
      <c r="K857" t="s">
        <v>177</v>
      </c>
      <c r="L857" t="str">
        <f t="shared" si="13"/>
        <v>T</v>
      </c>
      <c r="M857" t="s">
        <v>4</v>
      </c>
      <c r="N857" t="s">
        <v>135</v>
      </c>
      <c r="O857" t="s">
        <v>1374</v>
      </c>
    </row>
    <row r="858" spans="1:15" x14ac:dyDescent="0.6">
      <c r="A858" t="s">
        <v>380</v>
      </c>
      <c r="B858" t="s">
        <v>100</v>
      </c>
      <c r="C858" t="s">
        <v>55</v>
      </c>
      <c r="D858" t="str">
        <f>IF(E858&gt;F858,"승",IF(E858&lt;F858,"패"))</f>
        <v>패</v>
      </c>
      <c r="E858">
        <f>COUNTIF(M858:M863,"승")</f>
        <v>1</v>
      </c>
      <c r="F858">
        <f>COUNTA(M858:M863)-E858</f>
        <v>5</v>
      </c>
      <c r="G858" s="1">
        <f>E858/(E858+F858)</f>
        <v>0.16666666666666666</v>
      </c>
      <c r="H858" s="1"/>
      <c r="I858" s="2">
        <v>1</v>
      </c>
      <c r="J858" t="s">
        <v>559</v>
      </c>
      <c r="K858" t="s">
        <v>8</v>
      </c>
      <c r="L858" t="str">
        <f t="shared" si="13"/>
        <v>P</v>
      </c>
      <c r="M858" t="s">
        <v>4</v>
      </c>
      <c r="N858" t="s">
        <v>86</v>
      </c>
      <c r="O858" t="s">
        <v>1283</v>
      </c>
    </row>
    <row r="859" spans="1:15" x14ac:dyDescent="0.6">
      <c r="I859" s="2">
        <v>2</v>
      </c>
      <c r="J859">
        <v>2</v>
      </c>
      <c r="K859" t="s">
        <v>18</v>
      </c>
      <c r="L859" t="str">
        <f t="shared" si="13"/>
        <v>Z</v>
      </c>
      <c r="M859" t="s">
        <v>3</v>
      </c>
      <c r="N859" t="s">
        <v>381</v>
      </c>
      <c r="O859" t="s">
        <v>1284</v>
      </c>
    </row>
    <row r="860" spans="1:15" x14ac:dyDescent="0.6">
      <c r="I860" s="2">
        <v>3</v>
      </c>
      <c r="J860">
        <v>3</v>
      </c>
      <c r="K860" t="s">
        <v>278</v>
      </c>
      <c r="L860" t="str">
        <f t="shared" si="13"/>
        <v>Z</v>
      </c>
      <c r="M860" t="s">
        <v>4</v>
      </c>
      <c r="N860" t="s">
        <v>382</v>
      </c>
      <c r="O860" t="s">
        <v>1285</v>
      </c>
    </row>
    <row r="861" spans="1:15" x14ac:dyDescent="0.6">
      <c r="I861" s="2">
        <v>4</v>
      </c>
      <c r="J861">
        <v>4</v>
      </c>
      <c r="K861" t="s">
        <v>217</v>
      </c>
      <c r="L861" t="str">
        <f t="shared" si="13"/>
        <v>T</v>
      </c>
      <c r="M861" t="s">
        <v>4</v>
      </c>
      <c r="N861" t="s">
        <v>366</v>
      </c>
      <c r="O861" t="s">
        <v>1286</v>
      </c>
    </row>
    <row r="862" spans="1:15" x14ac:dyDescent="0.6">
      <c r="I862" s="2">
        <v>5</v>
      </c>
      <c r="J862">
        <v>5</v>
      </c>
      <c r="K862" t="s">
        <v>154</v>
      </c>
      <c r="L862" t="str">
        <f t="shared" si="13"/>
        <v>T</v>
      </c>
      <c r="M862" t="s">
        <v>4</v>
      </c>
      <c r="N862" t="s">
        <v>383</v>
      </c>
      <c r="O862" t="s">
        <v>1287</v>
      </c>
    </row>
    <row r="863" spans="1:15" x14ac:dyDescent="0.6">
      <c r="I863" s="2">
        <v>6</v>
      </c>
      <c r="J863">
        <v>6</v>
      </c>
      <c r="K863" t="s">
        <v>208</v>
      </c>
      <c r="L863" t="str">
        <f t="shared" si="13"/>
        <v>P</v>
      </c>
      <c r="M863" t="s">
        <v>4</v>
      </c>
      <c r="N863" t="s">
        <v>182</v>
      </c>
      <c r="O863" t="s">
        <v>1288</v>
      </c>
    </row>
    <row r="864" spans="1:15" x14ac:dyDescent="0.6">
      <c r="A864" t="s">
        <v>384</v>
      </c>
      <c r="B864" t="s">
        <v>23</v>
      </c>
      <c r="C864" t="s">
        <v>171</v>
      </c>
      <c r="D864" t="str">
        <f>IF(E864&gt;F864,"승",IF(E864&lt;F864,"패"))</f>
        <v>승</v>
      </c>
      <c r="E864">
        <f>COUNTIF(M864:M871,"승")</f>
        <v>6</v>
      </c>
      <c r="F864">
        <f>COUNTA(M864:M871)-E864</f>
        <v>2</v>
      </c>
      <c r="G864" s="1">
        <f>E864/(E864+F864)</f>
        <v>0.75</v>
      </c>
      <c r="H864" s="1" t="s">
        <v>46</v>
      </c>
      <c r="I864" s="2">
        <v>1</v>
      </c>
      <c r="J864" t="s">
        <v>559</v>
      </c>
      <c r="K864" t="s">
        <v>8</v>
      </c>
      <c r="L864" t="str">
        <f t="shared" si="13"/>
        <v>P</v>
      </c>
      <c r="M864" t="s">
        <v>3</v>
      </c>
      <c r="N864" t="s">
        <v>143</v>
      </c>
    </row>
    <row r="865" spans="1:14" x14ac:dyDescent="0.6">
      <c r="I865" s="2">
        <v>2</v>
      </c>
      <c r="J865">
        <v>2</v>
      </c>
      <c r="K865" t="s">
        <v>145</v>
      </c>
      <c r="L865" t="str">
        <f t="shared" si="13"/>
        <v>P</v>
      </c>
      <c r="M865" t="s">
        <v>3</v>
      </c>
      <c r="N865" t="s">
        <v>340</v>
      </c>
    </row>
    <row r="866" spans="1:14" x14ac:dyDescent="0.6">
      <c r="I866" s="2">
        <v>3</v>
      </c>
      <c r="J866">
        <v>3</v>
      </c>
      <c r="K866" t="s">
        <v>37</v>
      </c>
      <c r="L866" t="str">
        <f t="shared" si="13"/>
        <v>Z</v>
      </c>
      <c r="M866" t="s">
        <v>3</v>
      </c>
      <c r="N866" t="s">
        <v>273</v>
      </c>
    </row>
    <row r="867" spans="1:14" x14ac:dyDescent="0.6">
      <c r="I867" s="2">
        <v>4</v>
      </c>
      <c r="J867" t="s">
        <v>559</v>
      </c>
      <c r="K867" t="s">
        <v>145</v>
      </c>
      <c r="L867" t="str">
        <f t="shared" si="13"/>
        <v>P</v>
      </c>
      <c r="M867" t="s">
        <v>3</v>
      </c>
      <c r="N867" t="s">
        <v>340</v>
      </c>
    </row>
    <row r="868" spans="1:14" x14ac:dyDescent="0.6">
      <c r="I868" s="2">
        <v>5</v>
      </c>
      <c r="J868">
        <v>2</v>
      </c>
      <c r="K868" t="s">
        <v>37</v>
      </c>
      <c r="L868" t="str">
        <f t="shared" si="13"/>
        <v>Z</v>
      </c>
      <c r="M868" t="s">
        <v>3</v>
      </c>
      <c r="N868" t="s">
        <v>273</v>
      </c>
    </row>
    <row r="869" spans="1:14" x14ac:dyDescent="0.6">
      <c r="I869" s="2">
        <v>6</v>
      </c>
      <c r="J869">
        <v>3</v>
      </c>
      <c r="K869" t="s">
        <v>132</v>
      </c>
      <c r="L869" t="str">
        <f t="shared" si="13"/>
        <v>P</v>
      </c>
      <c r="M869" t="s">
        <v>4</v>
      </c>
      <c r="N869" t="s">
        <v>87</v>
      </c>
    </row>
    <row r="870" spans="1:14" x14ac:dyDescent="0.6">
      <c r="I870" s="2">
        <v>7</v>
      </c>
      <c r="J870">
        <v>4</v>
      </c>
      <c r="K870" t="s">
        <v>208</v>
      </c>
      <c r="L870" t="str">
        <f t="shared" si="13"/>
        <v>P</v>
      </c>
      <c r="M870" t="s">
        <v>4</v>
      </c>
      <c r="N870" t="s">
        <v>206</v>
      </c>
    </row>
    <row r="871" spans="1:14" x14ac:dyDescent="0.6">
      <c r="I871" s="2">
        <v>8</v>
      </c>
      <c r="J871">
        <v>5</v>
      </c>
      <c r="K871" t="s">
        <v>8</v>
      </c>
      <c r="L871" t="str">
        <f t="shared" si="13"/>
        <v>P</v>
      </c>
      <c r="M871" t="s">
        <v>3</v>
      </c>
      <c r="N871" t="s">
        <v>143</v>
      </c>
    </row>
    <row r="872" spans="1:14" x14ac:dyDescent="0.6">
      <c r="A872" t="s">
        <v>385</v>
      </c>
      <c r="B872" t="s">
        <v>23</v>
      </c>
      <c r="C872" t="s">
        <v>171</v>
      </c>
      <c r="D872" t="str">
        <f>IF(E872&gt;F872,"승",IF(E872&lt;F872,"패"))</f>
        <v>승</v>
      </c>
      <c r="E872">
        <f>COUNTIF(M872:M879,"승")</f>
        <v>5</v>
      </c>
      <c r="F872">
        <f>COUNTA(M872:M879)-E872</f>
        <v>3</v>
      </c>
      <c r="G872" s="1">
        <f>E872/(E872+F872)</f>
        <v>0.625</v>
      </c>
      <c r="H872" s="1"/>
      <c r="I872" s="2">
        <v>1</v>
      </c>
      <c r="J872" t="s">
        <v>559</v>
      </c>
      <c r="K872" t="s">
        <v>37</v>
      </c>
      <c r="L872" t="str">
        <f t="shared" si="13"/>
        <v>Z</v>
      </c>
      <c r="M872" t="s">
        <v>4</v>
      </c>
      <c r="N872" t="s">
        <v>26</v>
      </c>
    </row>
    <row r="873" spans="1:14" x14ac:dyDescent="0.6">
      <c r="I873" s="2">
        <v>2</v>
      </c>
      <c r="J873">
        <v>2</v>
      </c>
      <c r="K873" t="s">
        <v>217</v>
      </c>
      <c r="L873" t="str">
        <f t="shared" si="13"/>
        <v>T</v>
      </c>
      <c r="M873" t="s">
        <v>3</v>
      </c>
      <c r="N873" t="s">
        <v>35</v>
      </c>
    </row>
    <row r="874" spans="1:14" x14ac:dyDescent="0.6">
      <c r="I874" s="2">
        <v>3</v>
      </c>
      <c r="J874">
        <v>3</v>
      </c>
      <c r="K874" t="s">
        <v>154</v>
      </c>
      <c r="L874" t="str">
        <f t="shared" si="13"/>
        <v>T</v>
      </c>
      <c r="M874" t="s">
        <v>4</v>
      </c>
      <c r="N874" t="s">
        <v>386</v>
      </c>
    </row>
    <row r="875" spans="1:14" x14ac:dyDescent="0.6">
      <c r="I875" s="2">
        <v>4</v>
      </c>
      <c r="J875">
        <v>4</v>
      </c>
      <c r="K875" t="s">
        <v>208</v>
      </c>
      <c r="L875" t="str">
        <f t="shared" si="13"/>
        <v>P</v>
      </c>
      <c r="M875" t="s">
        <v>3</v>
      </c>
      <c r="N875" t="s">
        <v>12</v>
      </c>
    </row>
    <row r="876" spans="1:14" x14ac:dyDescent="0.6">
      <c r="I876" s="2">
        <v>5</v>
      </c>
      <c r="J876">
        <v>5</v>
      </c>
      <c r="K876" t="s">
        <v>8</v>
      </c>
      <c r="L876" t="str">
        <f t="shared" si="13"/>
        <v>P</v>
      </c>
      <c r="M876" t="s">
        <v>4</v>
      </c>
      <c r="N876" t="s">
        <v>143</v>
      </c>
    </row>
    <row r="877" spans="1:14" x14ac:dyDescent="0.6">
      <c r="I877" s="2">
        <v>6</v>
      </c>
      <c r="J877">
        <v>6</v>
      </c>
      <c r="K877" t="s">
        <v>145</v>
      </c>
      <c r="L877" t="str">
        <f t="shared" si="13"/>
        <v>P</v>
      </c>
      <c r="M877" t="s">
        <v>3</v>
      </c>
      <c r="N877" t="s">
        <v>249</v>
      </c>
    </row>
    <row r="878" spans="1:14" x14ac:dyDescent="0.6">
      <c r="I878" s="2">
        <v>7</v>
      </c>
      <c r="J878">
        <v>7</v>
      </c>
      <c r="K878" t="s">
        <v>217</v>
      </c>
      <c r="L878" t="str">
        <f t="shared" si="13"/>
        <v>T</v>
      </c>
      <c r="M878" t="s">
        <v>3</v>
      </c>
      <c r="N878" t="s">
        <v>35</v>
      </c>
    </row>
    <row r="879" spans="1:14" x14ac:dyDescent="0.6">
      <c r="I879" s="2">
        <v>8</v>
      </c>
      <c r="J879">
        <v>8</v>
      </c>
      <c r="K879" t="s">
        <v>8</v>
      </c>
      <c r="L879" t="str">
        <f t="shared" si="13"/>
        <v>P</v>
      </c>
      <c r="M879" t="s">
        <v>3</v>
      </c>
      <c r="N879" t="s">
        <v>143</v>
      </c>
    </row>
    <row r="880" spans="1:14" x14ac:dyDescent="0.6">
      <c r="A880" t="s">
        <v>387</v>
      </c>
      <c r="B880" t="s">
        <v>298</v>
      </c>
      <c r="C880" t="s">
        <v>55</v>
      </c>
      <c r="D880" t="str">
        <f>IF(E880&gt;F880,"승",IF(E880&lt;F880,"패"))</f>
        <v>패</v>
      </c>
      <c r="E880">
        <f>COUNTIF(M880:M886,"승")</f>
        <v>2</v>
      </c>
      <c r="F880">
        <f>COUNTA(M880:M886)-E880</f>
        <v>5</v>
      </c>
      <c r="G880" s="1">
        <f>E880/(E880+F880)</f>
        <v>0.2857142857142857</v>
      </c>
      <c r="I880" s="2">
        <v>1</v>
      </c>
      <c r="J880" t="s">
        <v>559</v>
      </c>
      <c r="K880" t="s">
        <v>278</v>
      </c>
      <c r="L880" t="str">
        <f t="shared" si="13"/>
        <v>Z</v>
      </c>
      <c r="M880" t="s">
        <v>4</v>
      </c>
      <c r="N880" t="s">
        <v>107</v>
      </c>
    </row>
    <row r="881" spans="1:14" x14ac:dyDescent="0.6">
      <c r="I881" s="2">
        <v>2</v>
      </c>
      <c r="J881">
        <v>2</v>
      </c>
      <c r="K881" t="s">
        <v>154</v>
      </c>
      <c r="L881" t="str">
        <f t="shared" si="13"/>
        <v>T</v>
      </c>
      <c r="M881" t="s">
        <v>4</v>
      </c>
      <c r="N881" t="s">
        <v>85</v>
      </c>
    </row>
    <row r="882" spans="1:14" x14ac:dyDescent="0.6">
      <c r="I882" s="2">
        <v>3</v>
      </c>
      <c r="J882">
        <v>3</v>
      </c>
      <c r="K882" t="s">
        <v>208</v>
      </c>
      <c r="L882" t="str">
        <f t="shared" si="13"/>
        <v>P</v>
      </c>
      <c r="M882" t="s">
        <v>3</v>
      </c>
      <c r="N882" t="s">
        <v>32</v>
      </c>
    </row>
    <row r="883" spans="1:14" x14ac:dyDescent="0.6">
      <c r="I883" s="2">
        <v>4</v>
      </c>
      <c r="J883">
        <v>4</v>
      </c>
      <c r="K883" t="s">
        <v>8</v>
      </c>
      <c r="L883" t="str">
        <f t="shared" si="13"/>
        <v>P</v>
      </c>
      <c r="M883" t="s">
        <v>4</v>
      </c>
      <c r="N883" t="s">
        <v>29</v>
      </c>
    </row>
    <row r="884" spans="1:14" x14ac:dyDescent="0.6">
      <c r="I884" s="2">
        <v>5</v>
      </c>
      <c r="J884">
        <v>5</v>
      </c>
      <c r="K884" t="s">
        <v>66</v>
      </c>
      <c r="L884" t="str">
        <f t="shared" si="13"/>
        <v>Z</v>
      </c>
      <c r="M884" t="s">
        <v>3</v>
      </c>
      <c r="N884" t="s">
        <v>68</v>
      </c>
    </row>
    <row r="885" spans="1:14" x14ac:dyDescent="0.6">
      <c r="I885" s="2">
        <v>6</v>
      </c>
      <c r="J885">
        <v>6</v>
      </c>
      <c r="K885" t="s">
        <v>132</v>
      </c>
      <c r="L885" t="str">
        <f t="shared" si="13"/>
        <v>P</v>
      </c>
      <c r="M885" t="s">
        <v>4</v>
      </c>
      <c r="N885" t="s">
        <v>388</v>
      </c>
    </row>
    <row r="886" spans="1:14" x14ac:dyDescent="0.6">
      <c r="I886" s="2">
        <v>7</v>
      </c>
      <c r="J886">
        <v>7</v>
      </c>
      <c r="K886" t="s">
        <v>177</v>
      </c>
      <c r="L886" t="str">
        <f t="shared" si="13"/>
        <v>T</v>
      </c>
      <c r="M886" t="s">
        <v>4</v>
      </c>
      <c r="N886" t="s">
        <v>61</v>
      </c>
    </row>
    <row r="887" spans="1:14" x14ac:dyDescent="0.6">
      <c r="A887" t="s">
        <v>389</v>
      </c>
      <c r="B887" t="s">
        <v>100</v>
      </c>
      <c r="C887" t="s">
        <v>94</v>
      </c>
      <c r="D887" t="str">
        <f>IF(E887&gt;F887,"승",IF(E887&lt;F887,"패"))</f>
        <v>승</v>
      </c>
      <c r="E887">
        <f>COUNTIF(M887:M897,"승")</f>
        <v>6</v>
      </c>
      <c r="F887">
        <f>COUNTA(M887:M897)-E887</f>
        <v>5</v>
      </c>
      <c r="G887" s="1">
        <f>E887/(E887+F887)</f>
        <v>0.54545454545454541</v>
      </c>
      <c r="H887" s="1" t="s">
        <v>192</v>
      </c>
      <c r="I887" s="2">
        <v>1</v>
      </c>
      <c r="J887" t="s">
        <v>559</v>
      </c>
      <c r="K887" t="s">
        <v>208</v>
      </c>
      <c r="L887" t="str">
        <f t="shared" si="13"/>
        <v>P</v>
      </c>
      <c r="M887" t="s">
        <v>4</v>
      </c>
      <c r="N887" t="s">
        <v>76</v>
      </c>
    </row>
    <row r="888" spans="1:14" x14ac:dyDescent="0.6">
      <c r="I888" s="2">
        <v>2</v>
      </c>
      <c r="K888" t="s">
        <v>8</v>
      </c>
      <c r="L888" t="str">
        <f t="shared" si="13"/>
        <v>P</v>
      </c>
      <c r="M888" t="s">
        <v>4</v>
      </c>
      <c r="N888" t="s">
        <v>86</v>
      </c>
    </row>
    <row r="889" spans="1:14" x14ac:dyDescent="0.6">
      <c r="I889" s="2">
        <v>3</v>
      </c>
      <c r="K889" t="s">
        <v>278</v>
      </c>
      <c r="L889" t="str">
        <f t="shared" si="13"/>
        <v>Z</v>
      </c>
      <c r="M889" t="s">
        <v>3</v>
      </c>
      <c r="N889" t="s">
        <v>391</v>
      </c>
    </row>
    <row r="890" spans="1:14" x14ac:dyDescent="0.6">
      <c r="I890" s="2">
        <v>4</v>
      </c>
      <c r="K890" t="s">
        <v>132</v>
      </c>
      <c r="L890" t="str">
        <f t="shared" si="13"/>
        <v>P</v>
      </c>
      <c r="M890" t="s">
        <v>3</v>
      </c>
      <c r="N890" t="s">
        <v>183</v>
      </c>
    </row>
    <row r="891" spans="1:14" x14ac:dyDescent="0.6">
      <c r="I891" s="2">
        <v>5</v>
      </c>
      <c r="K891" t="s">
        <v>278</v>
      </c>
      <c r="L891" t="str">
        <f t="shared" si="13"/>
        <v>Z</v>
      </c>
      <c r="M891" t="s">
        <v>3</v>
      </c>
      <c r="N891" t="s">
        <v>391</v>
      </c>
    </row>
    <row r="892" spans="1:14" x14ac:dyDescent="0.6">
      <c r="I892" s="2">
        <v>6</v>
      </c>
      <c r="J892" t="s">
        <v>559</v>
      </c>
      <c r="K892" t="s">
        <v>132</v>
      </c>
      <c r="L892" t="str">
        <f t="shared" si="13"/>
        <v>P</v>
      </c>
      <c r="M892" t="s">
        <v>4</v>
      </c>
      <c r="N892" t="s">
        <v>183</v>
      </c>
    </row>
    <row r="893" spans="1:14" x14ac:dyDescent="0.6">
      <c r="I893" s="2">
        <v>7</v>
      </c>
      <c r="K893" t="s">
        <v>8</v>
      </c>
      <c r="L893" t="str">
        <f t="shared" si="13"/>
        <v>P</v>
      </c>
      <c r="M893" t="s">
        <v>3</v>
      </c>
      <c r="N893" t="s">
        <v>390</v>
      </c>
    </row>
    <row r="894" spans="1:14" x14ac:dyDescent="0.6">
      <c r="I894" s="2">
        <v>8</v>
      </c>
      <c r="K894" t="s">
        <v>278</v>
      </c>
      <c r="L894" t="str">
        <f t="shared" si="13"/>
        <v>Z</v>
      </c>
      <c r="M894" t="s">
        <v>3</v>
      </c>
      <c r="N894" t="s">
        <v>391</v>
      </c>
    </row>
    <row r="895" spans="1:14" x14ac:dyDescent="0.6">
      <c r="I895" s="2">
        <v>9</v>
      </c>
      <c r="K895" t="s">
        <v>208</v>
      </c>
      <c r="L895" t="str">
        <f t="shared" si="13"/>
        <v>P</v>
      </c>
      <c r="M895" t="s">
        <v>4</v>
      </c>
      <c r="N895" t="s">
        <v>76</v>
      </c>
    </row>
    <row r="896" spans="1:14" x14ac:dyDescent="0.6">
      <c r="I896" s="2">
        <v>10</v>
      </c>
      <c r="K896" t="s">
        <v>278</v>
      </c>
      <c r="L896" t="str">
        <f t="shared" si="13"/>
        <v>Z</v>
      </c>
      <c r="M896" t="s">
        <v>4</v>
      </c>
      <c r="N896" t="s">
        <v>391</v>
      </c>
    </row>
    <row r="897" spans="1:14" x14ac:dyDescent="0.6">
      <c r="I897" s="2">
        <v>11</v>
      </c>
      <c r="J897" t="s">
        <v>562</v>
      </c>
      <c r="K897" t="s">
        <v>278</v>
      </c>
      <c r="L897" t="str">
        <f t="shared" si="13"/>
        <v>Z</v>
      </c>
      <c r="M897" t="s">
        <v>3</v>
      </c>
      <c r="N897" t="s">
        <v>391</v>
      </c>
    </row>
    <row r="898" spans="1:14" x14ac:dyDescent="0.6">
      <c r="A898" t="s">
        <v>392</v>
      </c>
      <c r="B898" t="s">
        <v>100</v>
      </c>
      <c r="C898" t="s">
        <v>94</v>
      </c>
      <c r="D898" t="s">
        <v>4</v>
      </c>
      <c r="E898">
        <f>COUNTIF(M898:M905,"승")</f>
        <v>4</v>
      </c>
      <c r="F898">
        <f>COUNTA(M898:M905)-E898</f>
        <v>4</v>
      </c>
      <c r="G898" s="1">
        <f>E898/(E898+F898)</f>
        <v>0.5</v>
      </c>
      <c r="H898" s="1" t="s">
        <v>119</v>
      </c>
      <c r="I898" s="2">
        <v>1</v>
      </c>
      <c r="J898" t="s">
        <v>559</v>
      </c>
      <c r="K898" t="s">
        <v>132</v>
      </c>
      <c r="L898" t="str">
        <f t="shared" si="13"/>
        <v>P</v>
      </c>
      <c r="M898" t="s">
        <v>4</v>
      </c>
      <c r="N898" t="s">
        <v>183</v>
      </c>
    </row>
    <row r="899" spans="1:14" x14ac:dyDescent="0.6">
      <c r="I899" s="2">
        <v>2</v>
      </c>
      <c r="J899">
        <v>2</v>
      </c>
      <c r="K899" t="s">
        <v>208</v>
      </c>
      <c r="L899" t="str">
        <f t="shared" si="13"/>
        <v>P</v>
      </c>
      <c r="M899" t="s">
        <v>4</v>
      </c>
      <c r="N899" t="s">
        <v>383</v>
      </c>
    </row>
    <row r="900" spans="1:14" x14ac:dyDescent="0.6">
      <c r="I900" s="2">
        <v>3</v>
      </c>
      <c r="J900">
        <v>3</v>
      </c>
      <c r="K900" t="s">
        <v>37</v>
      </c>
      <c r="L900" t="str">
        <f t="shared" ref="L900:L931" si="14">INDEX($R$2:$R$99,MATCH(K900,$Q$2:$Q$99,0))</f>
        <v>Z</v>
      </c>
      <c r="M900" t="s">
        <v>3</v>
      </c>
      <c r="N900" t="s">
        <v>366</v>
      </c>
    </row>
    <row r="901" spans="1:14" x14ac:dyDescent="0.6">
      <c r="I901" s="2">
        <v>4</v>
      </c>
      <c r="J901">
        <v>4</v>
      </c>
      <c r="K901" t="s">
        <v>278</v>
      </c>
      <c r="L901" t="str">
        <f t="shared" si="14"/>
        <v>Z</v>
      </c>
      <c r="M901" t="s">
        <v>4</v>
      </c>
      <c r="N901" t="s">
        <v>393</v>
      </c>
    </row>
    <row r="902" spans="1:14" x14ac:dyDescent="0.6">
      <c r="I902" s="2">
        <v>5</v>
      </c>
      <c r="J902" t="s">
        <v>559</v>
      </c>
      <c r="K902" t="s">
        <v>278</v>
      </c>
      <c r="L902" t="str">
        <f t="shared" si="14"/>
        <v>Z</v>
      </c>
      <c r="M902" t="s">
        <v>3</v>
      </c>
      <c r="N902" t="s">
        <v>393</v>
      </c>
    </row>
    <row r="903" spans="1:14" x14ac:dyDescent="0.6">
      <c r="I903" s="2">
        <v>6</v>
      </c>
      <c r="J903">
        <v>2</v>
      </c>
      <c r="K903" t="s">
        <v>132</v>
      </c>
      <c r="L903" t="str">
        <f t="shared" si="14"/>
        <v>P</v>
      </c>
      <c r="M903" t="s">
        <v>3</v>
      </c>
      <c r="N903" t="s">
        <v>183</v>
      </c>
    </row>
    <row r="904" spans="1:14" x14ac:dyDescent="0.6">
      <c r="I904" s="2">
        <v>7</v>
      </c>
      <c r="J904">
        <v>3</v>
      </c>
      <c r="K904" t="s">
        <v>208</v>
      </c>
      <c r="L904" t="str">
        <f t="shared" si="14"/>
        <v>P</v>
      </c>
      <c r="M904" t="s">
        <v>3</v>
      </c>
      <c r="N904" t="s">
        <v>383</v>
      </c>
    </row>
    <row r="905" spans="1:14" x14ac:dyDescent="0.6">
      <c r="I905" s="2">
        <v>8</v>
      </c>
      <c r="J905" t="s">
        <v>562</v>
      </c>
      <c r="K905" t="s">
        <v>37</v>
      </c>
      <c r="L905" t="str">
        <f t="shared" si="14"/>
        <v>Z</v>
      </c>
      <c r="M905" t="s">
        <v>4</v>
      </c>
      <c r="N905" t="s">
        <v>366</v>
      </c>
    </row>
    <row r="906" spans="1:14" x14ac:dyDescent="0.6">
      <c r="A906" t="s">
        <v>394</v>
      </c>
      <c r="B906" t="s">
        <v>224</v>
      </c>
      <c r="C906" t="s">
        <v>94</v>
      </c>
      <c r="D906" t="str">
        <f>IF(E906&gt;F906,"승",IF(E906&lt;F906,"패"))</f>
        <v>승</v>
      </c>
      <c r="E906">
        <f>COUNTIF(M906:M910,"승")</f>
        <v>3</v>
      </c>
      <c r="F906">
        <f>COUNTA(M906:M910)-E906</f>
        <v>2</v>
      </c>
      <c r="G906" s="1">
        <f>E906/(E906+F906)</f>
        <v>0.6</v>
      </c>
      <c r="H906" s="1"/>
      <c r="I906" s="2">
        <v>1</v>
      </c>
      <c r="J906" t="s">
        <v>559</v>
      </c>
      <c r="K906" t="s">
        <v>37</v>
      </c>
      <c r="L906" t="str">
        <f t="shared" si="14"/>
        <v>Z</v>
      </c>
      <c r="M906" t="s">
        <v>3</v>
      </c>
      <c r="N906" t="s">
        <v>395</v>
      </c>
    </row>
    <row r="907" spans="1:14" x14ac:dyDescent="0.6">
      <c r="I907" s="2">
        <v>2</v>
      </c>
      <c r="J907">
        <v>2</v>
      </c>
      <c r="K907" t="s">
        <v>132</v>
      </c>
      <c r="L907" t="str">
        <f t="shared" si="14"/>
        <v>P</v>
      </c>
      <c r="M907" t="s">
        <v>4</v>
      </c>
      <c r="N907" t="s">
        <v>396</v>
      </c>
    </row>
    <row r="908" spans="1:14" x14ac:dyDescent="0.6">
      <c r="I908" s="2">
        <v>3</v>
      </c>
      <c r="J908">
        <v>3</v>
      </c>
      <c r="K908" t="s">
        <v>145</v>
      </c>
      <c r="L908" t="str">
        <f t="shared" si="14"/>
        <v>P</v>
      </c>
      <c r="M908" t="s">
        <v>3</v>
      </c>
      <c r="N908" t="s">
        <v>35</v>
      </c>
    </row>
    <row r="909" spans="1:14" x14ac:dyDescent="0.6">
      <c r="I909" s="2">
        <v>4</v>
      </c>
      <c r="J909">
        <v>4</v>
      </c>
      <c r="K909" t="s">
        <v>208</v>
      </c>
      <c r="L909" t="str">
        <f t="shared" si="14"/>
        <v>P</v>
      </c>
      <c r="M909" t="s">
        <v>4</v>
      </c>
      <c r="N909" t="s">
        <v>196</v>
      </c>
    </row>
    <row r="910" spans="1:14" x14ac:dyDescent="0.6">
      <c r="I910" s="2">
        <v>5</v>
      </c>
      <c r="J910">
        <v>5</v>
      </c>
      <c r="K910" t="s">
        <v>37</v>
      </c>
      <c r="L910" t="str">
        <f t="shared" si="14"/>
        <v>Z</v>
      </c>
      <c r="M910" t="s">
        <v>3</v>
      </c>
      <c r="N910" t="s">
        <v>395</v>
      </c>
    </row>
    <row r="911" spans="1:14" x14ac:dyDescent="0.6">
      <c r="A911" t="s">
        <v>394</v>
      </c>
      <c r="B911" t="s">
        <v>131</v>
      </c>
      <c r="C911" t="s">
        <v>94</v>
      </c>
      <c r="D911" t="str">
        <f>IF(E911&gt;F911,"승",IF(E911&lt;F911,"패"))</f>
        <v>패</v>
      </c>
      <c r="E911">
        <f>COUNTIF(M911:M918,"승")</f>
        <v>3</v>
      </c>
      <c r="F911">
        <f>COUNTA(M911:M918)-E911</f>
        <v>5</v>
      </c>
      <c r="G911" s="1">
        <f>E911/(E911+F911)</f>
        <v>0.375</v>
      </c>
      <c r="H911" s="1" t="s">
        <v>119</v>
      </c>
      <c r="I911" s="2">
        <v>1</v>
      </c>
      <c r="J911" t="s">
        <v>559</v>
      </c>
      <c r="K911" t="s">
        <v>132</v>
      </c>
      <c r="L911" t="str">
        <f t="shared" si="14"/>
        <v>P</v>
      </c>
      <c r="M911" t="s">
        <v>3</v>
      </c>
      <c r="N911" t="s">
        <v>306</v>
      </c>
    </row>
    <row r="912" spans="1:14" x14ac:dyDescent="0.6">
      <c r="I912" s="2">
        <v>2</v>
      </c>
      <c r="J912">
        <v>2</v>
      </c>
      <c r="K912" t="s">
        <v>37</v>
      </c>
      <c r="L912" t="str">
        <f t="shared" si="14"/>
        <v>Z</v>
      </c>
      <c r="M912" t="s">
        <v>4</v>
      </c>
      <c r="N912" t="s">
        <v>397</v>
      </c>
    </row>
    <row r="913" spans="1:15" x14ac:dyDescent="0.6">
      <c r="I913" s="2">
        <v>3</v>
      </c>
      <c r="J913">
        <v>3</v>
      </c>
      <c r="K913" t="s">
        <v>145</v>
      </c>
      <c r="L913" t="str">
        <f t="shared" si="14"/>
        <v>P</v>
      </c>
      <c r="M913" t="s">
        <v>3</v>
      </c>
      <c r="N913" t="s">
        <v>30</v>
      </c>
    </row>
    <row r="914" spans="1:15" x14ac:dyDescent="0.6">
      <c r="I914" s="2">
        <v>4</v>
      </c>
      <c r="J914">
        <v>4</v>
      </c>
      <c r="K914" t="s">
        <v>208</v>
      </c>
      <c r="L914" t="str">
        <f t="shared" si="14"/>
        <v>P</v>
      </c>
      <c r="M914" t="s">
        <v>3</v>
      </c>
      <c r="N914" t="s">
        <v>243</v>
      </c>
    </row>
    <row r="915" spans="1:15" x14ac:dyDescent="0.6">
      <c r="I915" s="2">
        <v>5</v>
      </c>
      <c r="J915" t="s">
        <v>559</v>
      </c>
      <c r="K915" t="s">
        <v>132</v>
      </c>
      <c r="L915" t="str">
        <f t="shared" si="14"/>
        <v>P</v>
      </c>
      <c r="M915" t="s">
        <v>4</v>
      </c>
      <c r="N915" t="s">
        <v>306</v>
      </c>
    </row>
    <row r="916" spans="1:15" x14ac:dyDescent="0.6">
      <c r="I916" s="2">
        <v>6</v>
      </c>
      <c r="J916">
        <v>2</v>
      </c>
      <c r="K916" t="s">
        <v>37</v>
      </c>
      <c r="L916" t="str">
        <f t="shared" si="14"/>
        <v>Z</v>
      </c>
      <c r="M916" t="s">
        <v>4</v>
      </c>
      <c r="N916" t="s">
        <v>397</v>
      </c>
    </row>
    <row r="917" spans="1:15" x14ac:dyDescent="0.6">
      <c r="I917" s="2">
        <v>7</v>
      </c>
      <c r="J917">
        <v>3</v>
      </c>
      <c r="K917" t="s">
        <v>145</v>
      </c>
      <c r="L917" t="str">
        <f t="shared" si="14"/>
        <v>P</v>
      </c>
      <c r="M917" t="s">
        <v>4</v>
      </c>
      <c r="N917" t="s">
        <v>30</v>
      </c>
    </row>
    <row r="918" spans="1:15" x14ac:dyDescent="0.6">
      <c r="I918" s="2">
        <v>8</v>
      </c>
      <c r="J918" t="s">
        <v>562</v>
      </c>
      <c r="K918" t="s">
        <v>132</v>
      </c>
      <c r="L918" t="str">
        <f t="shared" si="14"/>
        <v>P</v>
      </c>
      <c r="M918" t="s">
        <v>4</v>
      </c>
      <c r="N918" t="s">
        <v>306</v>
      </c>
    </row>
    <row r="919" spans="1:15" x14ac:dyDescent="0.6">
      <c r="A919" t="s">
        <v>476</v>
      </c>
      <c r="B919" t="s">
        <v>477</v>
      </c>
      <c r="C919" t="s">
        <v>478</v>
      </c>
      <c r="D919" t="str">
        <f>IF(E919&gt;F919,"승",IF(E919&lt;F919,"패"))</f>
        <v>패</v>
      </c>
      <c r="E919">
        <f>COUNTIF(M919:M925,"승")</f>
        <v>2</v>
      </c>
      <c r="F919">
        <f>COUNTA(M919:M925)-E919</f>
        <v>5</v>
      </c>
      <c r="G919" s="1">
        <f>E919/(E919+F919)</f>
        <v>0.2857142857142857</v>
      </c>
      <c r="I919">
        <v>1</v>
      </c>
      <c r="J919" t="s">
        <v>559</v>
      </c>
      <c r="K919" t="s">
        <v>479</v>
      </c>
      <c r="L919" t="str">
        <f t="shared" si="14"/>
        <v>T</v>
      </c>
      <c r="M919" t="s">
        <v>4</v>
      </c>
      <c r="N919" t="s">
        <v>485</v>
      </c>
      <c r="O919" t="s">
        <v>514</v>
      </c>
    </row>
    <row r="920" spans="1:15" x14ac:dyDescent="0.6">
      <c r="I920">
        <v>2</v>
      </c>
      <c r="J920">
        <v>2</v>
      </c>
      <c r="K920" t="s">
        <v>480</v>
      </c>
      <c r="L920" t="str">
        <f t="shared" si="14"/>
        <v>P</v>
      </c>
      <c r="M920" t="s">
        <v>4</v>
      </c>
      <c r="N920" t="s">
        <v>486</v>
      </c>
      <c r="O920" t="s">
        <v>515</v>
      </c>
    </row>
    <row r="921" spans="1:15" x14ac:dyDescent="0.6">
      <c r="I921">
        <v>3</v>
      </c>
      <c r="J921">
        <v>3</v>
      </c>
      <c r="K921" t="s">
        <v>37</v>
      </c>
      <c r="L921" t="str">
        <f t="shared" si="14"/>
        <v>Z</v>
      </c>
      <c r="M921" t="s">
        <v>3</v>
      </c>
      <c r="N921" t="s">
        <v>487</v>
      </c>
      <c r="O921" t="s">
        <v>516</v>
      </c>
    </row>
    <row r="922" spans="1:15" x14ac:dyDescent="0.6">
      <c r="I922">
        <v>4</v>
      </c>
      <c r="J922">
        <v>4</v>
      </c>
      <c r="K922" t="s">
        <v>481</v>
      </c>
      <c r="L922" t="str">
        <f t="shared" si="14"/>
        <v>Z</v>
      </c>
      <c r="M922" t="s">
        <v>4</v>
      </c>
      <c r="N922" t="s">
        <v>488</v>
      </c>
      <c r="O922" t="s">
        <v>517</v>
      </c>
    </row>
    <row r="923" spans="1:15" x14ac:dyDescent="0.6">
      <c r="I923">
        <v>5</v>
      </c>
      <c r="J923">
        <v>5</v>
      </c>
      <c r="K923" t="s">
        <v>482</v>
      </c>
      <c r="L923" t="str">
        <f t="shared" si="14"/>
        <v>P</v>
      </c>
      <c r="M923" t="s">
        <v>3</v>
      </c>
      <c r="N923" t="s">
        <v>489</v>
      </c>
      <c r="O923" t="s">
        <v>518</v>
      </c>
    </row>
    <row r="924" spans="1:15" x14ac:dyDescent="0.6">
      <c r="I924">
        <v>6</v>
      </c>
      <c r="J924">
        <v>6</v>
      </c>
      <c r="K924" t="s">
        <v>483</v>
      </c>
      <c r="L924" t="str">
        <f t="shared" si="14"/>
        <v>T</v>
      </c>
      <c r="M924" t="s">
        <v>4</v>
      </c>
      <c r="N924" t="s">
        <v>490</v>
      </c>
      <c r="O924" t="s">
        <v>519</v>
      </c>
    </row>
    <row r="925" spans="1:15" x14ac:dyDescent="0.6">
      <c r="I925">
        <v>7</v>
      </c>
      <c r="J925">
        <v>7</v>
      </c>
      <c r="K925" t="s">
        <v>484</v>
      </c>
      <c r="L925" t="str">
        <f t="shared" si="14"/>
        <v>Z</v>
      </c>
      <c r="M925" t="s">
        <v>4</v>
      </c>
      <c r="N925" t="s">
        <v>491</v>
      </c>
      <c r="O925" t="s">
        <v>520</v>
      </c>
    </row>
    <row r="926" spans="1:15" x14ac:dyDescent="0.6">
      <c r="A926" t="s">
        <v>492</v>
      </c>
      <c r="B926" t="s">
        <v>493</v>
      </c>
      <c r="C926" t="s">
        <v>171</v>
      </c>
      <c r="D926" t="str">
        <f>IF(E926&gt;F926,"승",IF(E926&lt;F926,"패"))</f>
        <v>승</v>
      </c>
      <c r="E926">
        <f>COUNTIF(M926:M933,"승")</f>
        <v>5</v>
      </c>
      <c r="F926">
        <f>COUNTA(M926:M933)-E926</f>
        <v>3</v>
      </c>
      <c r="G926" s="1">
        <f>E926/(E926+F926)</f>
        <v>0.625</v>
      </c>
      <c r="I926">
        <v>1</v>
      </c>
      <c r="J926" t="s">
        <v>559</v>
      </c>
      <c r="K926" t="s">
        <v>26</v>
      </c>
      <c r="L926" t="str">
        <f t="shared" si="14"/>
        <v>T</v>
      </c>
      <c r="M926" t="s">
        <v>4</v>
      </c>
      <c r="N926" t="s">
        <v>495</v>
      </c>
      <c r="O926" t="s">
        <v>506</v>
      </c>
    </row>
    <row r="927" spans="1:15" x14ac:dyDescent="0.6">
      <c r="I927">
        <v>2</v>
      </c>
      <c r="J927">
        <v>2</v>
      </c>
      <c r="K927" t="s">
        <v>38</v>
      </c>
      <c r="L927" t="str">
        <f t="shared" si="14"/>
        <v>Z</v>
      </c>
      <c r="M927" t="s">
        <v>3</v>
      </c>
      <c r="N927" t="s">
        <v>495</v>
      </c>
      <c r="O927" t="s">
        <v>507</v>
      </c>
    </row>
    <row r="928" spans="1:15" x14ac:dyDescent="0.6">
      <c r="I928">
        <v>3</v>
      </c>
      <c r="J928">
        <v>3</v>
      </c>
      <c r="K928" t="s">
        <v>26</v>
      </c>
      <c r="L928" t="str">
        <f t="shared" si="14"/>
        <v>T</v>
      </c>
      <c r="M928" t="s">
        <v>3</v>
      </c>
      <c r="N928" t="s">
        <v>496</v>
      </c>
      <c r="O928" t="s">
        <v>508</v>
      </c>
    </row>
    <row r="929" spans="1:15" x14ac:dyDescent="0.6">
      <c r="I929">
        <v>4</v>
      </c>
      <c r="J929">
        <v>4</v>
      </c>
      <c r="K929" t="s">
        <v>38</v>
      </c>
      <c r="L929" t="str">
        <f t="shared" si="14"/>
        <v>Z</v>
      </c>
      <c r="M929" t="s">
        <v>4</v>
      </c>
      <c r="N929" t="s">
        <v>497</v>
      </c>
      <c r="O929" t="s">
        <v>509</v>
      </c>
    </row>
    <row r="930" spans="1:15" x14ac:dyDescent="0.6">
      <c r="I930">
        <v>5</v>
      </c>
      <c r="J930">
        <v>5</v>
      </c>
      <c r="K930" t="s">
        <v>494</v>
      </c>
      <c r="L930" t="str">
        <f t="shared" si="14"/>
        <v>P</v>
      </c>
      <c r="M930" t="s">
        <v>3</v>
      </c>
      <c r="N930" t="s">
        <v>497</v>
      </c>
      <c r="O930" t="s">
        <v>510</v>
      </c>
    </row>
    <row r="931" spans="1:15" x14ac:dyDescent="0.6">
      <c r="I931">
        <v>6</v>
      </c>
      <c r="J931">
        <v>6</v>
      </c>
      <c r="K931" t="s">
        <v>494</v>
      </c>
      <c r="L931" t="str">
        <f t="shared" si="14"/>
        <v>P</v>
      </c>
      <c r="M931" t="s">
        <v>4</v>
      </c>
      <c r="N931" t="s">
        <v>496</v>
      </c>
      <c r="O931" t="s">
        <v>511</v>
      </c>
    </row>
    <row r="932" spans="1:15" x14ac:dyDescent="0.6">
      <c r="I932">
        <v>7</v>
      </c>
      <c r="J932">
        <v>7</v>
      </c>
      <c r="K932" t="s">
        <v>498</v>
      </c>
      <c r="L932" t="str">
        <f>IFERROR(INDEX($R$2:$R$99,MATCH(K932,$Q$2:$Q$99,0)),"")</f>
        <v>T</v>
      </c>
      <c r="M932" t="s">
        <v>3</v>
      </c>
      <c r="N932" t="s">
        <v>497</v>
      </c>
      <c r="O932" t="s">
        <v>512</v>
      </c>
    </row>
    <row r="933" spans="1:15" x14ac:dyDescent="0.6">
      <c r="I933">
        <v>8</v>
      </c>
      <c r="J933">
        <v>8</v>
      </c>
      <c r="K933" t="s">
        <v>498</v>
      </c>
      <c r="L933" t="str">
        <f t="shared" ref="L933:L996" si="15">IFERROR(INDEX($R$2:$R$99,MATCH(K933,$Q$2:$Q$99,0)),"")</f>
        <v>T</v>
      </c>
      <c r="M933" t="s">
        <v>3</v>
      </c>
      <c r="N933" t="s">
        <v>496</v>
      </c>
      <c r="O933" t="s">
        <v>513</v>
      </c>
    </row>
    <row r="934" spans="1:15" x14ac:dyDescent="0.6">
      <c r="A934" t="s">
        <v>125</v>
      </c>
      <c r="B934" t="s">
        <v>65</v>
      </c>
      <c r="C934" t="s">
        <v>171</v>
      </c>
      <c r="D934" t="str">
        <f>IF(E934&gt;F934,"승",IF(E934&lt;F934,"패"))</f>
        <v>패</v>
      </c>
      <c r="E934">
        <f>COUNTIF(M934:M947,"승")</f>
        <v>6</v>
      </c>
      <c r="F934">
        <f>COUNTA(M934:M947)-E934</f>
        <v>8</v>
      </c>
      <c r="G934" s="1">
        <f>E934/(E934+F934)</f>
        <v>0.42857142857142855</v>
      </c>
      <c r="H934" s="1" t="s">
        <v>119</v>
      </c>
      <c r="I934">
        <v>1</v>
      </c>
      <c r="J934" t="s">
        <v>559</v>
      </c>
      <c r="K934" t="s">
        <v>569</v>
      </c>
      <c r="L934" t="str">
        <f t="shared" si="15"/>
        <v>T</v>
      </c>
      <c r="M934" t="s">
        <v>3</v>
      </c>
      <c r="N934" t="s">
        <v>570</v>
      </c>
      <c r="O934" t="s">
        <v>575</v>
      </c>
    </row>
    <row r="935" spans="1:15" x14ac:dyDescent="0.6">
      <c r="I935">
        <v>2</v>
      </c>
      <c r="J935">
        <v>2</v>
      </c>
      <c r="K935" t="s">
        <v>145</v>
      </c>
      <c r="L935" t="str">
        <f t="shared" si="15"/>
        <v>P</v>
      </c>
      <c r="M935" t="s">
        <v>4</v>
      </c>
      <c r="N935" t="s">
        <v>571</v>
      </c>
      <c r="O935" t="s">
        <v>576</v>
      </c>
    </row>
    <row r="936" spans="1:15" x14ac:dyDescent="0.6">
      <c r="I936">
        <v>3</v>
      </c>
      <c r="J936">
        <v>3</v>
      </c>
      <c r="K936" t="s">
        <v>35</v>
      </c>
      <c r="L936" t="str">
        <f t="shared" si="15"/>
        <v>Z</v>
      </c>
      <c r="M936" t="s">
        <v>4</v>
      </c>
      <c r="N936" t="s">
        <v>572</v>
      </c>
      <c r="O936" t="s">
        <v>577</v>
      </c>
    </row>
    <row r="937" spans="1:15" x14ac:dyDescent="0.6">
      <c r="I937">
        <v>4</v>
      </c>
      <c r="J937">
        <v>4</v>
      </c>
      <c r="K937" t="s">
        <v>37</v>
      </c>
      <c r="L937" t="str">
        <f t="shared" si="15"/>
        <v>Z</v>
      </c>
      <c r="M937" t="s">
        <v>4</v>
      </c>
      <c r="N937" t="s">
        <v>573</v>
      </c>
      <c r="O937" t="s">
        <v>578</v>
      </c>
    </row>
    <row r="938" spans="1:15" x14ac:dyDescent="0.6">
      <c r="I938">
        <v>5</v>
      </c>
      <c r="J938">
        <v>5</v>
      </c>
      <c r="K938" t="s">
        <v>155</v>
      </c>
      <c r="L938" t="str">
        <f t="shared" si="15"/>
        <v>P</v>
      </c>
      <c r="M938" t="s">
        <v>4</v>
      </c>
      <c r="N938" t="s">
        <v>574</v>
      </c>
      <c r="O938" t="s">
        <v>579</v>
      </c>
    </row>
    <row r="939" spans="1:15" x14ac:dyDescent="0.6">
      <c r="I939">
        <v>6</v>
      </c>
      <c r="J939" t="s">
        <v>559</v>
      </c>
      <c r="K939" t="s">
        <v>580</v>
      </c>
      <c r="L939" t="str">
        <f t="shared" si="15"/>
        <v>P</v>
      </c>
      <c r="M939" t="s">
        <v>587</v>
      </c>
      <c r="N939" t="s">
        <v>571</v>
      </c>
      <c r="O939" t="s">
        <v>581</v>
      </c>
    </row>
    <row r="940" spans="1:15" x14ac:dyDescent="0.6">
      <c r="I940">
        <v>7</v>
      </c>
      <c r="J940">
        <v>2</v>
      </c>
      <c r="K940" t="s">
        <v>580</v>
      </c>
      <c r="L940" t="str">
        <f t="shared" si="15"/>
        <v>P</v>
      </c>
      <c r="M940" t="s">
        <v>587</v>
      </c>
      <c r="N940" t="s">
        <v>574</v>
      </c>
      <c r="O940" t="s">
        <v>582</v>
      </c>
    </row>
    <row r="941" spans="1:15" x14ac:dyDescent="0.6">
      <c r="I941">
        <v>8</v>
      </c>
      <c r="J941">
        <v>3</v>
      </c>
      <c r="K941" t="s">
        <v>580</v>
      </c>
      <c r="L941" t="str">
        <f t="shared" si="15"/>
        <v>P</v>
      </c>
      <c r="M941" t="s">
        <v>586</v>
      </c>
      <c r="N941" t="s">
        <v>572</v>
      </c>
      <c r="O941" t="s">
        <v>583</v>
      </c>
    </row>
    <row r="942" spans="1:15" x14ac:dyDescent="0.6">
      <c r="I942">
        <v>9</v>
      </c>
      <c r="J942">
        <v>4</v>
      </c>
      <c r="K942" t="s">
        <v>585</v>
      </c>
      <c r="L942" t="str">
        <f t="shared" si="15"/>
        <v>Z</v>
      </c>
      <c r="M942" t="s">
        <v>586</v>
      </c>
      <c r="N942" t="s">
        <v>572</v>
      </c>
      <c r="O942" t="s">
        <v>584</v>
      </c>
    </row>
    <row r="943" spans="1:15" x14ac:dyDescent="0.6">
      <c r="I943">
        <v>10</v>
      </c>
      <c r="J943">
        <v>5</v>
      </c>
      <c r="K943" t="s">
        <v>37</v>
      </c>
      <c r="L943" t="str">
        <f t="shared" si="15"/>
        <v>Z</v>
      </c>
      <c r="M943" t="s">
        <v>586</v>
      </c>
      <c r="N943" t="s">
        <v>572</v>
      </c>
      <c r="O943" t="s">
        <v>588</v>
      </c>
    </row>
    <row r="944" spans="1:15" x14ac:dyDescent="0.6">
      <c r="I944">
        <v>11</v>
      </c>
      <c r="J944">
        <v>6</v>
      </c>
      <c r="K944" t="s">
        <v>569</v>
      </c>
      <c r="L944" t="str">
        <f t="shared" si="15"/>
        <v>T</v>
      </c>
      <c r="M944" t="s">
        <v>3</v>
      </c>
      <c r="N944" t="s">
        <v>572</v>
      </c>
      <c r="O944" t="s">
        <v>589</v>
      </c>
    </row>
    <row r="945" spans="1:15" x14ac:dyDescent="0.6">
      <c r="I945">
        <v>12</v>
      </c>
      <c r="J945">
        <v>7</v>
      </c>
      <c r="K945" t="s">
        <v>569</v>
      </c>
      <c r="L945" t="str">
        <f t="shared" si="15"/>
        <v>T</v>
      </c>
      <c r="M945" t="s">
        <v>3</v>
      </c>
      <c r="N945" t="s">
        <v>570</v>
      </c>
      <c r="O945" t="s">
        <v>590</v>
      </c>
    </row>
    <row r="946" spans="1:15" x14ac:dyDescent="0.6">
      <c r="I946">
        <v>13</v>
      </c>
      <c r="J946">
        <v>8</v>
      </c>
      <c r="K946" t="s">
        <v>569</v>
      </c>
      <c r="L946" t="str">
        <f t="shared" si="15"/>
        <v>T</v>
      </c>
      <c r="M946" t="s">
        <v>3</v>
      </c>
      <c r="N946" t="s">
        <v>573</v>
      </c>
      <c r="O946" t="s">
        <v>591</v>
      </c>
    </row>
    <row r="947" spans="1:15" x14ac:dyDescent="0.6">
      <c r="I947">
        <v>14</v>
      </c>
      <c r="J947" t="s">
        <v>562</v>
      </c>
      <c r="K947" t="s">
        <v>569</v>
      </c>
      <c r="L947" t="str">
        <f t="shared" si="15"/>
        <v>T</v>
      </c>
      <c r="M947" t="s">
        <v>586</v>
      </c>
      <c r="N947" t="s">
        <v>572</v>
      </c>
      <c r="O947" t="s">
        <v>592</v>
      </c>
    </row>
    <row r="948" spans="1:15" x14ac:dyDescent="0.6">
      <c r="A948" t="s">
        <v>674</v>
      </c>
      <c r="C948" t="s">
        <v>47</v>
      </c>
      <c r="D948" t="str">
        <f>IF(E948&gt;F948,"승",IF(E948&lt;F948,"패"))</f>
        <v>패</v>
      </c>
      <c r="E948">
        <f>COUNTIF(M948:M956,"승")</f>
        <v>3</v>
      </c>
      <c r="F948">
        <f>COUNTA(M948:M956)-E948</f>
        <v>6</v>
      </c>
      <c r="G948" s="1">
        <f>E948/(E948+F948)</f>
        <v>0.33333333333333331</v>
      </c>
      <c r="H948" s="1"/>
      <c r="I948">
        <v>1</v>
      </c>
      <c r="J948" t="s">
        <v>559</v>
      </c>
      <c r="K948" t="s">
        <v>675</v>
      </c>
      <c r="L948" t="str">
        <f t="shared" si="15"/>
        <v>Z</v>
      </c>
      <c r="M948" t="s">
        <v>3</v>
      </c>
      <c r="N948" t="s">
        <v>677</v>
      </c>
      <c r="O948" t="s">
        <v>786</v>
      </c>
    </row>
    <row r="949" spans="1:15" x14ac:dyDescent="0.6">
      <c r="I949">
        <v>2</v>
      </c>
      <c r="J949">
        <v>2</v>
      </c>
      <c r="K949" t="s">
        <v>676</v>
      </c>
      <c r="L949" t="str">
        <f t="shared" si="15"/>
        <v>Z</v>
      </c>
      <c r="M949" t="s">
        <v>586</v>
      </c>
      <c r="N949" t="s">
        <v>678</v>
      </c>
      <c r="O949" t="s">
        <v>787</v>
      </c>
    </row>
    <row r="950" spans="1:15" x14ac:dyDescent="0.6">
      <c r="I950">
        <v>3</v>
      </c>
      <c r="J950">
        <v>3</v>
      </c>
      <c r="K950" t="s">
        <v>675</v>
      </c>
      <c r="L950" t="str">
        <f t="shared" ref="L950:L955" si="16">IFERROR(INDEX($R$2:$R$99,MATCH(K950,$Q$2:$Q$99,0)),"")</f>
        <v>Z</v>
      </c>
      <c r="M950" t="s">
        <v>3</v>
      </c>
      <c r="N950" t="s">
        <v>677</v>
      </c>
      <c r="O950" t="s">
        <v>788</v>
      </c>
    </row>
    <row r="951" spans="1:15" x14ac:dyDescent="0.6">
      <c r="I951">
        <v>4</v>
      </c>
      <c r="J951">
        <v>4</v>
      </c>
      <c r="K951" t="s">
        <v>676</v>
      </c>
      <c r="L951" t="str">
        <f t="shared" si="16"/>
        <v>Z</v>
      </c>
      <c r="M951" t="s">
        <v>586</v>
      </c>
      <c r="N951" t="s">
        <v>678</v>
      </c>
      <c r="O951" t="s">
        <v>789</v>
      </c>
    </row>
    <row r="952" spans="1:15" x14ac:dyDescent="0.6">
      <c r="I952">
        <v>5</v>
      </c>
      <c r="J952">
        <v>5</v>
      </c>
      <c r="K952" t="s">
        <v>675</v>
      </c>
      <c r="L952" t="str">
        <f t="shared" si="16"/>
        <v>Z</v>
      </c>
      <c r="M952" t="s">
        <v>3</v>
      </c>
      <c r="N952" t="s">
        <v>677</v>
      </c>
      <c r="O952" t="s">
        <v>790</v>
      </c>
    </row>
    <row r="953" spans="1:15" x14ac:dyDescent="0.6">
      <c r="I953">
        <v>6</v>
      </c>
      <c r="J953">
        <v>6</v>
      </c>
      <c r="K953" t="s">
        <v>676</v>
      </c>
      <c r="L953" t="str">
        <f t="shared" si="16"/>
        <v>Z</v>
      </c>
      <c r="M953" t="s">
        <v>586</v>
      </c>
      <c r="N953" t="s">
        <v>678</v>
      </c>
      <c r="O953" t="s">
        <v>791</v>
      </c>
    </row>
    <row r="954" spans="1:15" x14ac:dyDescent="0.6">
      <c r="I954">
        <v>7</v>
      </c>
      <c r="J954">
        <v>7</v>
      </c>
      <c r="K954" t="s">
        <v>675</v>
      </c>
      <c r="L954" t="str">
        <f t="shared" si="16"/>
        <v>Z</v>
      </c>
      <c r="M954" t="s">
        <v>586</v>
      </c>
      <c r="N954" t="s">
        <v>677</v>
      </c>
      <c r="O954" t="s">
        <v>792</v>
      </c>
    </row>
    <row r="955" spans="1:15" x14ac:dyDescent="0.6">
      <c r="I955">
        <v>8</v>
      </c>
      <c r="J955">
        <v>8</v>
      </c>
      <c r="K955" t="s">
        <v>676</v>
      </c>
      <c r="L955" t="str">
        <f t="shared" si="16"/>
        <v>Z</v>
      </c>
      <c r="M955" t="s">
        <v>586</v>
      </c>
      <c r="N955" t="s">
        <v>678</v>
      </c>
      <c r="O955" t="s">
        <v>793</v>
      </c>
    </row>
    <row r="956" spans="1:15" x14ac:dyDescent="0.6">
      <c r="I956">
        <v>9</v>
      </c>
      <c r="J956">
        <v>9</v>
      </c>
      <c r="K956" t="s">
        <v>676</v>
      </c>
      <c r="L956" t="str">
        <f t="shared" ref="L956" si="17">IFERROR(INDEX($R$2:$R$99,MATCH(K956,$Q$2:$Q$99,0)),"")</f>
        <v>Z</v>
      </c>
      <c r="M956" t="s">
        <v>586</v>
      </c>
      <c r="N956" t="s">
        <v>678</v>
      </c>
      <c r="O956" t="s">
        <v>794</v>
      </c>
    </row>
    <row r="957" spans="1:15" x14ac:dyDescent="0.6">
      <c r="A957" t="s">
        <v>709</v>
      </c>
      <c r="C957" t="s">
        <v>47</v>
      </c>
      <c r="D957" t="str">
        <f>IF(E957&gt;F957,"승",IF(E957&lt;F957,"패"))</f>
        <v>승</v>
      </c>
      <c r="E957">
        <f>COUNTIF(M957:M963,"승")</f>
        <v>4</v>
      </c>
      <c r="F957">
        <f>COUNTA(M957:M963)-E957</f>
        <v>3</v>
      </c>
      <c r="G957" s="1">
        <f>E957/(E957+F957)</f>
        <v>0.5714285714285714</v>
      </c>
      <c r="I957" s="2">
        <v>1</v>
      </c>
      <c r="J957" s="2">
        <v>1</v>
      </c>
      <c r="K957" t="s">
        <v>710</v>
      </c>
      <c r="L957" t="str">
        <f t="shared" si="15"/>
        <v>T</v>
      </c>
      <c r="M957" t="s">
        <v>586</v>
      </c>
      <c r="N957" t="s">
        <v>711</v>
      </c>
      <c r="O957" t="s">
        <v>712</v>
      </c>
    </row>
    <row r="958" spans="1:15" x14ac:dyDescent="0.6">
      <c r="I958" s="2">
        <v>2</v>
      </c>
      <c r="J958" s="2">
        <v>2</v>
      </c>
      <c r="K958" t="s">
        <v>710</v>
      </c>
      <c r="L958" t="str">
        <f t="shared" si="15"/>
        <v>T</v>
      </c>
      <c r="M958" t="s">
        <v>586</v>
      </c>
      <c r="N958" t="s">
        <v>711</v>
      </c>
      <c r="O958" t="s">
        <v>713</v>
      </c>
    </row>
    <row r="959" spans="1:15" x14ac:dyDescent="0.6">
      <c r="I959" s="2">
        <v>3</v>
      </c>
      <c r="J959" s="2">
        <v>3</v>
      </c>
      <c r="K959" t="s">
        <v>710</v>
      </c>
      <c r="L959" t="str">
        <f t="shared" si="15"/>
        <v>T</v>
      </c>
      <c r="M959" t="s">
        <v>3</v>
      </c>
      <c r="N959" t="s">
        <v>711</v>
      </c>
      <c r="O959" t="s">
        <v>714</v>
      </c>
    </row>
    <row r="960" spans="1:15" x14ac:dyDescent="0.6">
      <c r="I960" s="2">
        <v>4</v>
      </c>
      <c r="J960" s="2">
        <v>4</v>
      </c>
      <c r="K960" t="s">
        <v>710</v>
      </c>
      <c r="L960" t="str">
        <f t="shared" si="15"/>
        <v>T</v>
      </c>
      <c r="M960" t="s">
        <v>586</v>
      </c>
      <c r="N960" t="s">
        <v>711</v>
      </c>
      <c r="O960" t="s">
        <v>715</v>
      </c>
    </row>
    <row r="961" spans="1:15" x14ac:dyDescent="0.6">
      <c r="I961" s="2">
        <v>5</v>
      </c>
      <c r="J961" s="2">
        <v>5</v>
      </c>
      <c r="K961" t="s">
        <v>710</v>
      </c>
      <c r="L961" t="str">
        <f t="shared" si="15"/>
        <v>T</v>
      </c>
      <c r="M961" t="s">
        <v>3</v>
      </c>
      <c r="N961" t="s">
        <v>711</v>
      </c>
      <c r="O961" t="s">
        <v>716</v>
      </c>
    </row>
    <row r="962" spans="1:15" x14ac:dyDescent="0.6">
      <c r="I962" s="2">
        <v>6</v>
      </c>
      <c r="J962" s="2">
        <v>6</v>
      </c>
      <c r="K962" t="s">
        <v>710</v>
      </c>
      <c r="L962" t="str">
        <f t="shared" si="15"/>
        <v>T</v>
      </c>
      <c r="M962" t="s">
        <v>3</v>
      </c>
      <c r="N962" t="s">
        <v>711</v>
      </c>
      <c r="O962" t="s">
        <v>717</v>
      </c>
    </row>
    <row r="963" spans="1:15" x14ac:dyDescent="0.6">
      <c r="I963" s="2">
        <v>7</v>
      </c>
      <c r="J963" s="2">
        <v>7</v>
      </c>
      <c r="K963" t="s">
        <v>710</v>
      </c>
      <c r="L963" t="str">
        <f t="shared" si="15"/>
        <v>T</v>
      </c>
      <c r="M963" t="s">
        <v>3</v>
      </c>
      <c r="N963" t="s">
        <v>711</v>
      </c>
      <c r="O963" t="s">
        <v>718</v>
      </c>
    </row>
    <row r="964" spans="1:15" x14ac:dyDescent="0.6">
      <c r="A964" t="s">
        <v>795</v>
      </c>
      <c r="C964" t="s">
        <v>47</v>
      </c>
      <c r="D964" t="str">
        <f>IF(E964&gt;F964,"승",IF(E964&lt;F964,"패"))</f>
        <v>패</v>
      </c>
      <c r="E964">
        <f>COUNTIF(M964:M970,"승")</f>
        <v>3</v>
      </c>
      <c r="F964">
        <f>COUNTA(M964:M970)-E964</f>
        <v>4</v>
      </c>
      <c r="G964" s="1">
        <f>E964/(E964+F964)</f>
        <v>0.42857142857142855</v>
      </c>
      <c r="I964" s="2">
        <v>1</v>
      </c>
      <c r="J964" s="2">
        <v>1</v>
      </c>
      <c r="K964" t="s">
        <v>796</v>
      </c>
      <c r="L964" t="str">
        <f t="shared" si="15"/>
        <v>T</v>
      </c>
      <c r="M964" t="s">
        <v>4</v>
      </c>
      <c r="N964" t="s">
        <v>797</v>
      </c>
      <c r="O964" t="s">
        <v>1113</v>
      </c>
    </row>
    <row r="965" spans="1:15" x14ac:dyDescent="0.6">
      <c r="I965" s="2">
        <v>2</v>
      </c>
      <c r="J965" s="2">
        <v>2</v>
      </c>
      <c r="K965" t="s">
        <v>796</v>
      </c>
      <c r="L965" t="str">
        <f t="shared" ref="L965:L971" si="18">IFERROR(INDEX($R$2:$R$99,MATCH(K965,$Q$2:$Q$99,0)),"")</f>
        <v>T</v>
      </c>
      <c r="M965" t="s">
        <v>4</v>
      </c>
      <c r="N965" t="s">
        <v>797</v>
      </c>
      <c r="O965" t="s">
        <v>1114</v>
      </c>
    </row>
    <row r="966" spans="1:15" x14ac:dyDescent="0.6">
      <c r="I966" s="2">
        <v>3</v>
      </c>
      <c r="J966" s="2">
        <v>3</v>
      </c>
      <c r="K966" t="s">
        <v>796</v>
      </c>
      <c r="L966" t="str">
        <f t="shared" si="18"/>
        <v>T</v>
      </c>
      <c r="M966" t="s">
        <v>3</v>
      </c>
      <c r="N966" t="s">
        <v>797</v>
      </c>
      <c r="O966" t="s">
        <v>1115</v>
      </c>
    </row>
    <row r="967" spans="1:15" x14ac:dyDescent="0.6">
      <c r="I967" s="2">
        <v>4</v>
      </c>
      <c r="J967" s="2">
        <v>4</v>
      </c>
      <c r="K967" t="s">
        <v>796</v>
      </c>
      <c r="L967" t="str">
        <f t="shared" si="18"/>
        <v>T</v>
      </c>
      <c r="M967" t="s">
        <v>3</v>
      </c>
      <c r="N967" t="s">
        <v>797</v>
      </c>
      <c r="O967" t="s">
        <v>1116</v>
      </c>
    </row>
    <row r="968" spans="1:15" x14ac:dyDescent="0.6">
      <c r="I968" s="2">
        <v>5</v>
      </c>
      <c r="J968" s="2">
        <v>5</v>
      </c>
      <c r="K968" t="s">
        <v>796</v>
      </c>
      <c r="L968" t="str">
        <f t="shared" si="18"/>
        <v>T</v>
      </c>
      <c r="M968" t="s">
        <v>3</v>
      </c>
      <c r="N968" t="s">
        <v>797</v>
      </c>
      <c r="O968" t="s">
        <v>1118</v>
      </c>
    </row>
    <row r="969" spans="1:15" x14ac:dyDescent="0.6">
      <c r="I969" s="2">
        <v>6</v>
      </c>
      <c r="J969" s="2">
        <v>6</v>
      </c>
      <c r="K969" t="s">
        <v>796</v>
      </c>
      <c r="L969" t="str">
        <f t="shared" si="18"/>
        <v>T</v>
      </c>
      <c r="M969" t="s">
        <v>4</v>
      </c>
      <c r="N969" t="s">
        <v>797</v>
      </c>
      <c r="O969" t="s">
        <v>1117</v>
      </c>
    </row>
    <row r="970" spans="1:15" x14ac:dyDescent="0.6">
      <c r="I970" s="2">
        <v>7</v>
      </c>
      <c r="J970" s="2">
        <v>7</v>
      </c>
      <c r="K970" t="s">
        <v>796</v>
      </c>
      <c r="L970" t="str">
        <f t="shared" si="18"/>
        <v>T</v>
      </c>
      <c r="M970" t="s">
        <v>4</v>
      </c>
      <c r="N970" t="s">
        <v>797</v>
      </c>
      <c r="O970" t="s">
        <v>1119</v>
      </c>
    </row>
    <row r="971" spans="1:15" x14ac:dyDescent="0.6">
      <c r="A971" t="s">
        <v>1120</v>
      </c>
      <c r="B971" t="s">
        <v>1121</v>
      </c>
      <c r="C971" t="s">
        <v>55</v>
      </c>
      <c r="D971" t="str">
        <f>IF(E971&gt;F971,"승",IF(E971&lt;F971,"패"))</f>
        <v>패</v>
      </c>
      <c r="E971">
        <f>COUNTIF(M971:M975,"승")</f>
        <v>0</v>
      </c>
      <c r="F971">
        <f>COUNTA(M971:M975)-E971</f>
        <v>5</v>
      </c>
      <c r="G971" s="1">
        <f>E971/(E971+F971)</f>
        <v>0</v>
      </c>
      <c r="H971" t="s">
        <v>1122</v>
      </c>
      <c r="I971" s="2">
        <v>1</v>
      </c>
      <c r="J971" s="2">
        <v>1</v>
      </c>
      <c r="K971" t="s">
        <v>1123</v>
      </c>
      <c r="L971" t="str">
        <f t="shared" si="18"/>
        <v>Z</v>
      </c>
      <c r="M971" t="s">
        <v>4</v>
      </c>
      <c r="N971" t="s">
        <v>102</v>
      </c>
      <c r="O971" t="s">
        <v>1132</v>
      </c>
    </row>
    <row r="972" spans="1:15" x14ac:dyDescent="0.6">
      <c r="I972" s="2">
        <v>2</v>
      </c>
      <c r="J972" s="2">
        <v>2</v>
      </c>
      <c r="K972" t="s">
        <v>1124</v>
      </c>
      <c r="L972" t="str">
        <f t="shared" si="15"/>
        <v>P</v>
      </c>
      <c r="M972" t="s">
        <v>4</v>
      </c>
      <c r="N972" t="s">
        <v>1128</v>
      </c>
      <c r="O972" t="s">
        <v>1133</v>
      </c>
    </row>
    <row r="973" spans="1:15" x14ac:dyDescent="0.6">
      <c r="I973" s="2">
        <v>3</v>
      </c>
      <c r="J973" s="2">
        <v>3</v>
      </c>
      <c r="K973" t="s">
        <v>1125</v>
      </c>
      <c r="L973" t="str">
        <f t="shared" si="15"/>
        <v>Z</v>
      </c>
      <c r="M973" t="s">
        <v>4</v>
      </c>
      <c r="N973" t="s">
        <v>1129</v>
      </c>
      <c r="O973" t="s">
        <v>1134</v>
      </c>
    </row>
    <row r="974" spans="1:15" x14ac:dyDescent="0.6">
      <c r="I974" s="2">
        <v>4</v>
      </c>
      <c r="J974" s="2">
        <v>4</v>
      </c>
      <c r="K974" t="s">
        <v>1126</v>
      </c>
      <c r="L974" t="str">
        <f t="shared" si="15"/>
        <v>T</v>
      </c>
      <c r="M974" t="s">
        <v>4</v>
      </c>
      <c r="N974" t="s">
        <v>1130</v>
      </c>
      <c r="O974" t="s">
        <v>1135</v>
      </c>
    </row>
    <row r="975" spans="1:15" x14ac:dyDescent="0.6">
      <c r="I975" s="2">
        <v>5</v>
      </c>
      <c r="J975" s="2">
        <v>5</v>
      </c>
      <c r="K975" t="s">
        <v>1127</v>
      </c>
      <c r="L975" t="str">
        <f t="shared" si="15"/>
        <v>P</v>
      </c>
      <c r="M975" t="s">
        <v>4</v>
      </c>
      <c r="N975" t="s">
        <v>1131</v>
      </c>
      <c r="O975" t="s">
        <v>1136</v>
      </c>
    </row>
    <row r="976" spans="1:15" x14ac:dyDescent="0.6">
      <c r="A976" t="s">
        <v>1158</v>
      </c>
      <c r="B976" t="s">
        <v>110</v>
      </c>
      <c r="C976" t="s">
        <v>94</v>
      </c>
      <c r="D976" t="str">
        <f>IF(E976&gt;F976,"승",IF(E976&lt;F976,"패"))</f>
        <v>패</v>
      </c>
      <c r="E976">
        <f>COUNTIF(M976:M983,"승")</f>
        <v>2</v>
      </c>
      <c r="F976">
        <f>COUNTA(M976:M983)-E976</f>
        <v>6</v>
      </c>
      <c r="G976" s="1">
        <f>E976/(E976+F976)</f>
        <v>0.25</v>
      </c>
      <c r="H976" s="1" t="s">
        <v>144</v>
      </c>
      <c r="I976" s="2">
        <v>1</v>
      </c>
      <c r="J976" s="2" t="s">
        <v>1168</v>
      </c>
      <c r="K976" t="s">
        <v>1160</v>
      </c>
      <c r="L976" t="str">
        <f t="shared" si="15"/>
        <v>Z</v>
      </c>
      <c r="M976" t="s">
        <v>3</v>
      </c>
      <c r="N976" t="s">
        <v>1161</v>
      </c>
      <c r="O976" t="s">
        <v>1159</v>
      </c>
    </row>
    <row r="977" spans="1:15" x14ac:dyDescent="0.6">
      <c r="I977" s="2">
        <v>2</v>
      </c>
      <c r="J977" s="2">
        <v>2</v>
      </c>
      <c r="K977" t="s">
        <v>1162</v>
      </c>
      <c r="L977" t="str">
        <f t="shared" si="15"/>
        <v>Z</v>
      </c>
      <c r="M977" t="s">
        <v>4</v>
      </c>
      <c r="N977" t="s">
        <v>1163</v>
      </c>
      <c r="O977" t="s">
        <v>1169</v>
      </c>
    </row>
    <row r="978" spans="1:15" x14ac:dyDescent="0.6">
      <c r="I978" s="2">
        <v>3</v>
      </c>
      <c r="J978" s="2">
        <v>3</v>
      </c>
      <c r="K978" t="s">
        <v>1164</v>
      </c>
      <c r="L978" t="str">
        <f t="shared" si="15"/>
        <v>Z</v>
      </c>
      <c r="M978" t="s">
        <v>4</v>
      </c>
      <c r="N978" t="s">
        <v>1166</v>
      </c>
      <c r="O978" t="s">
        <v>1170</v>
      </c>
    </row>
    <row r="979" spans="1:15" x14ac:dyDescent="0.6">
      <c r="I979" s="2">
        <v>4</v>
      </c>
      <c r="J979" s="2">
        <v>4</v>
      </c>
      <c r="K979" t="s">
        <v>1165</v>
      </c>
      <c r="L979" t="str">
        <f t="shared" si="15"/>
        <v>P</v>
      </c>
      <c r="M979" t="s">
        <v>4</v>
      </c>
      <c r="N979" t="s">
        <v>1167</v>
      </c>
      <c r="O979" t="s">
        <v>1171</v>
      </c>
    </row>
    <row r="980" spans="1:15" x14ac:dyDescent="0.6">
      <c r="I980" s="2">
        <v>5</v>
      </c>
      <c r="J980" s="2" t="s">
        <v>1168</v>
      </c>
      <c r="K980" t="s">
        <v>1164</v>
      </c>
      <c r="L980" t="str">
        <f t="shared" si="15"/>
        <v>Z</v>
      </c>
      <c r="M980" t="s">
        <v>4</v>
      </c>
      <c r="N980" t="s">
        <v>1166</v>
      </c>
      <c r="O980" t="s">
        <v>1172</v>
      </c>
    </row>
    <row r="981" spans="1:15" x14ac:dyDescent="0.6">
      <c r="I981" s="2">
        <v>6</v>
      </c>
      <c r="J981" s="2">
        <v>2</v>
      </c>
      <c r="K981" t="s">
        <v>1160</v>
      </c>
      <c r="L981" t="str">
        <f t="shared" si="15"/>
        <v>Z</v>
      </c>
      <c r="M981" t="s">
        <v>3</v>
      </c>
      <c r="N981" t="s">
        <v>1161</v>
      </c>
      <c r="O981" t="s">
        <v>1173</v>
      </c>
    </row>
    <row r="982" spans="1:15" x14ac:dyDescent="0.6">
      <c r="I982" s="2">
        <v>7</v>
      </c>
      <c r="J982" s="2">
        <v>3</v>
      </c>
      <c r="K982" t="s">
        <v>1162</v>
      </c>
      <c r="L982" t="str">
        <f t="shared" si="15"/>
        <v>Z</v>
      </c>
      <c r="M982" t="s">
        <v>4</v>
      </c>
      <c r="N982" t="s">
        <v>1163</v>
      </c>
      <c r="O982" t="s">
        <v>1174</v>
      </c>
    </row>
    <row r="983" spans="1:15" x14ac:dyDescent="0.6">
      <c r="I983" s="2">
        <v>8</v>
      </c>
      <c r="J983" s="2">
        <v>4</v>
      </c>
      <c r="K983" t="s">
        <v>1165</v>
      </c>
      <c r="L983" t="str">
        <f t="shared" si="15"/>
        <v>P</v>
      </c>
      <c r="M983" t="s">
        <v>4</v>
      </c>
      <c r="N983" t="s">
        <v>1167</v>
      </c>
      <c r="O983" t="s">
        <v>1175</v>
      </c>
    </row>
    <row r="984" spans="1:15" x14ac:dyDescent="0.6">
      <c r="A984" t="s">
        <v>1203</v>
      </c>
      <c r="B984" t="s">
        <v>131</v>
      </c>
      <c r="C984" t="s">
        <v>55</v>
      </c>
      <c r="D984" t="str">
        <f>IF(E984&gt;F984,"승",IF(E984&lt;F984,"패"))</f>
        <v>패</v>
      </c>
      <c r="E984">
        <f>COUNTIF(M984:M990,"승")</f>
        <v>3</v>
      </c>
      <c r="F984">
        <f>COUNTA(M984:M990)-E984</f>
        <v>4</v>
      </c>
      <c r="G984" s="1">
        <f>E984/(E984+F984)</f>
        <v>0.42857142857142855</v>
      </c>
      <c r="H984" s="1" t="s">
        <v>1204</v>
      </c>
      <c r="I984" s="2">
        <v>1</v>
      </c>
      <c r="J984" s="2">
        <v>1</v>
      </c>
      <c r="K984" t="s">
        <v>1205</v>
      </c>
      <c r="L984" t="str">
        <f t="shared" si="15"/>
        <v>T</v>
      </c>
      <c r="M984" t="s">
        <v>1209</v>
      </c>
      <c r="N984" t="s">
        <v>1211</v>
      </c>
      <c r="O984" t="s">
        <v>1218</v>
      </c>
    </row>
    <row r="985" spans="1:15" x14ac:dyDescent="0.6">
      <c r="I985" s="2">
        <v>2</v>
      </c>
      <c r="J985" s="2">
        <v>2</v>
      </c>
      <c r="K985" t="s">
        <v>1206</v>
      </c>
      <c r="L985" t="str">
        <f t="shared" si="15"/>
        <v>P</v>
      </c>
      <c r="M985" t="s">
        <v>1209</v>
      </c>
      <c r="N985" t="s">
        <v>1212</v>
      </c>
      <c r="O985" t="s">
        <v>1219</v>
      </c>
    </row>
    <row r="986" spans="1:15" x14ac:dyDescent="0.6">
      <c r="I986" s="2">
        <v>3</v>
      </c>
      <c r="J986" s="2">
        <v>3</v>
      </c>
      <c r="K986" t="s">
        <v>17</v>
      </c>
      <c r="L986" t="str">
        <f t="shared" si="15"/>
        <v>T</v>
      </c>
      <c r="M986" t="s">
        <v>1210</v>
      </c>
      <c r="N986" t="s">
        <v>1213</v>
      </c>
      <c r="O986" t="s">
        <v>1220</v>
      </c>
    </row>
    <row r="987" spans="1:15" x14ac:dyDescent="0.6">
      <c r="I987" s="2">
        <v>4</v>
      </c>
      <c r="J987" s="2">
        <v>4</v>
      </c>
      <c r="K987" t="s">
        <v>16</v>
      </c>
      <c r="L987" t="str">
        <f t="shared" si="15"/>
        <v>T</v>
      </c>
      <c r="M987" t="s">
        <v>1210</v>
      </c>
      <c r="N987" t="s">
        <v>1214</v>
      </c>
      <c r="O987" t="s">
        <v>1221</v>
      </c>
    </row>
    <row r="988" spans="1:15" x14ac:dyDescent="0.6">
      <c r="I988" s="2">
        <v>5</v>
      </c>
      <c r="J988" s="2">
        <v>5</v>
      </c>
      <c r="K988" t="s">
        <v>18</v>
      </c>
      <c r="L988" t="str">
        <f t="shared" si="15"/>
        <v>Z</v>
      </c>
      <c r="M988" t="s">
        <v>1209</v>
      </c>
      <c r="N988" t="s">
        <v>1215</v>
      </c>
      <c r="O988" t="s">
        <v>1222</v>
      </c>
    </row>
    <row r="989" spans="1:15" x14ac:dyDescent="0.6">
      <c r="I989" s="2">
        <v>6</v>
      </c>
      <c r="J989" s="2">
        <v>6</v>
      </c>
      <c r="K989" t="s">
        <v>1207</v>
      </c>
      <c r="L989" t="str">
        <f t="shared" si="15"/>
        <v>Z</v>
      </c>
      <c r="M989" t="s">
        <v>1210</v>
      </c>
      <c r="N989" t="s">
        <v>1216</v>
      </c>
      <c r="O989" t="s">
        <v>1223</v>
      </c>
    </row>
    <row r="990" spans="1:15" x14ac:dyDescent="0.6">
      <c r="I990" s="2">
        <v>7</v>
      </c>
      <c r="J990" s="2">
        <v>7</v>
      </c>
      <c r="K990" t="s">
        <v>1208</v>
      </c>
      <c r="L990" t="str">
        <f t="shared" si="15"/>
        <v>Z</v>
      </c>
      <c r="M990" t="s">
        <v>1209</v>
      </c>
      <c r="N990" t="s">
        <v>1217</v>
      </c>
      <c r="O990" t="s">
        <v>1224</v>
      </c>
    </row>
    <row r="991" spans="1:15" x14ac:dyDescent="0.6">
      <c r="A991" t="s">
        <v>1271</v>
      </c>
      <c r="B991" t="s">
        <v>346</v>
      </c>
      <c r="C991" t="s">
        <v>94</v>
      </c>
      <c r="D991" t="str">
        <f>IF(E991&gt;F991,"승",IF(E991&lt;F991,"패"))</f>
        <v>승</v>
      </c>
      <c r="E991">
        <f>COUNTIF(M991:M996,"승")</f>
        <v>4</v>
      </c>
      <c r="F991">
        <f>COUNTA(M991:M996)-E991</f>
        <v>2</v>
      </c>
      <c r="G991" s="1">
        <f>E991/(E991+F991)</f>
        <v>0.66666666666666663</v>
      </c>
      <c r="H991" s="1"/>
      <c r="I991" s="2">
        <v>1</v>
      </c>
      <c r="J991" s="2">
        <v>1</v>
      </c>
      <c r="K991" t="s">
        <v>1272</v>
      </c>
      <c r="L991" t="str">
        <f t="shared" si="15"/>
        <v>Z</v>
      </c>
      <c r="M991" t="s">
        <v>1210</v>
      </c>
      <c r="N991" t="s">
        <v>1273</v>
      </c>
      <c r="O991" t="s">
        <v>1274</v>
      </c>
    </row>
    <row r="992" spans="1:15" x14ac:dyDescent="0.6">
      <c r="I992" s="2">
        <v>2</v>
      </c>
      <c r="J992" s="2">
        <v>2</v>
      </c>
      <c r="K992" t="s">
        <v>1207</v>
      </c>
      <c r="L992" t="str">
        <f t="shared" si="15"/>
        <v>Z</v>
      </c>
      <c r="M992" t="s">
        <v>1210</v>
      </c>
      <c r="N992" t="s">
        <v>1276</v>
      </c>
      <c r="O992" t="s">
        <v>1275</v>
      </c>
    </row>
    <row r="993" spans="1:15" x14ac:dyDescent="0.6">
      <c r="I993" s="2">
        <v>3</v>
      </c>
      <c r="J993" s="2">
        <v>3</v>
      </c>
      <c r="K993" t="s">
        <v>1277</v>
      </c>
      <c r="L993" t="str">
        <f t="shared" si="15"/>
        <v>Z</v>
      </c>
      <c r="M993" t="s">
        <v>1209</v>
      </c>
      <c r="N993" t="s">
        <v>1278</v>
      </c>
      <c r="O993" t="s">
        <v>1279</v>
      </c>
    </row>
    <row r="994" spans="1:15" x14ac:dyDescent="0.6">
      <c r="I994" s="2">
        <v>4</v>
      </c>
      <c r="J994" s="2">
        <v>4</v>
      </c>
      <c r="K994" t="s">
        <v>1277</v>
      </c>
      <c r="L994" t="str">
        <f t="shared" si="15"/>
        <v>Z</v>
      </c>
      <c r="M994" t="s">
        <v>1209</v>
      </c>
      <c r="N994" t="s">
        <v>1278</v>
      </c>
      <c r="O994" t="s">
        <v>1280</v>
      </c>
    </row>
    <row r="995" spans="1:15" x14ac:dyDescent="0.6">
      <c r="I995" s="2">
        <v>5</v>
      </c>
      <c r="J995" s="2">
        <v>5</v>
      </c>
      <c r="K995" t="s">
        <v>1207</v>
      </c>
      <c r="L995" t="str">
        <f t="shared" si="15"/>
        <v>Z</v>
      </c>
      <c r="M995" t="s">
        <v>1210</v>
      </c>
      <c r="N995" t="s">
        <v>1276</v>
      </c>
      <c r="O995" t="s">
        <v>1281</v>
      </c>
    </row>
    <row r="996" spans="1:15" x14ac:dyDescent="0.6">
      <c r="I996" s="2">
        <v>6</v>
      </c>
      <c r="J996" s="2">
        <v>6</v>
      </c>
      <c r="K996" t="s">
        <v>1272</v>
      </c>
      <c r="L996" t="str">
        <f t="shared" si="15"/>
        <v>Z</v>
      </c>
      <c r="M996" t="s">
        <v>1210</v>
      </c>
      <c r="N996" t="s">
        <v>1273</v>
      </c>
      <c r="O996" t="s">
        <v>1282</v>
      </c>
    </row>
    <row r="997" spans="1:15" x14ac:dyDescent="0.6">
      <c r="A997" t="s">
        <v>1317</v>
      </c>
      <c r="B997" t="s">
        <v>1318</v>
      </c>
      <c r="C997" t="s">
        <v>171</v>
      </c>
      <c r="D997" t="str">
        <f>IF(E997&gt;F997,"승",IF(E997&lt;F997,"패"))</f>
        <v>패</v>
      </c>
      <c r="E997">
        <f>COUNTIF(M997:M1005,"승")</f>
        <v>3</v>
      </c>
      <c r="F997">
        <f>COUNTA(M997:M1005)-E997</f>
        <v>6</v>
      </c>
      <c r="G997" s="1">
        <f>E997/(E997+F997)</f>
        <v>0.33333333333333331</v>
      </c>
      <c r="H997" s="1" t="s">
        <v>144</v>
      </c>
      <c r="I997" s="2">
        <v>1</v>
      </c>
      <c r="J997" s="2" t="s">
        <v>1168</v>
      </c>
      <c r="K997" t="s">
        <v>1319</v>
      </c>
      <c r="L997" t="str">
        <f t="shared" ref="L997:L1060" si="19">IFERROR(INDEX($R$2:$R$99,MATCH(K997,$Q$2:$Q$99,0)),"")</f>
        <v>Z</v>
      </c>
      <c r="M997" t="s">
        <v>4</v>
      </c>
      <c r="N997" t="s">
        <v>1321</v>
      </c>
      <c r="O997" t="s">
        <v>1375</v>
      </c>
    </row>
    <row r="998" spans="1:15" x14ac:dyDescent="0.6">
      <c r="I998" s="2">
        <v>2</v>
      </c>
      <c r="J998" s="2">
        <v>2</v>
      </c>
      <c r="K998" t="s">
        <v>18</v>
      </c>
      <c r="L998" t="str">
        <f t="shared" si="19"/>
        <v>Z</v>
      </c>
      <c r="M998" t="s">
        <v>3</v>
      </c>
      <c r="N998" t="s">
        <v>1322</v>
      </c>
      <c r="O998" t="s">
        <v>1376</v>
      </c>
    </row>
    <row r="999" spans="1:15" x14ac:dyDescent="0.6">
      <c r="I999" s="2">
        <v>3</v>
      </c>
      <c r="J999" s="2">
        <v>3</v>
      </c>
      <c r="K999" t="s">
        <v>1320</v>
      </c>
      <c r="L999" t="str">
        <f t="shared" si="19"/>
        <v>T</v>
      </c>
      <c r="M999" t="s">
        <v>4</v>
      </c>
      <c r="N999" t="s">
        <v>1323</v>
      </c>
      <c r="O999" t="s">
        <v>1377</v>
      </c>
    </row>
    <row r="1000" spans="1:15" x14ac:dyDescent="0.6">
      <c r="I1000" s="2">
        <v>4</v>
      </c>
      <c r="J1000" s="2">
        <v>4</v>
      </c>
      <c r="K1000" t="s">
        <v>19</v>
      </c>
      <c r="L1000" t="str">
        <f t="shared" si="19"/>
        <v>P</v>
      </c>
      <c r="M1000" t="s">
        <v>3</v>
      </c>
      <c r="N1000" t="s">
        <v>1324</v>
      </c>
      <c r="O1000" t="s">
        <v>1378</v>
      </c>
    </row>
    <row r="1001" spans="1:15" x14ac:dyDescent="0.6">
      <c r="I1001" s="2">
        <v>5</v>
      </c>
      <c r="J1001">
        <v>5</v>
      </c>
      <c r="K1001" t="s">
        <v>18</v>
      </c>
      <c r="L1001" t="str">
        <f t="shared" si="19"/>
        <v>Z</v>
      </c>
      <c r="M1001" t="s">
        <v>4</v>
      </c>
      <c r="N1001" t="s">
        <v>1322</v>
      </c>
      <c r="O1001" t="s">
        <v>1379</v>
      </c>
    </row>
    <row r="1002" spans="1:15" x14ac:dyDescent="0.6">
      <c r="I1002" s="2">
        <v>6</v>
      </c>
      <c r="J1002" s="2" t="s">
        <v>1168</v>
      </c>
      <c r="K1002" t="s">
        <v>19</v>
      </c>
      <c r="L1002" t="str">
        <f t="shared" si="19"/>
        <v>P</v>
      </c>
      <c r="M1002" t="s">
        <v>4</v>
      </c>
      <c r="N1002" t="s">
        <v>1324</v>
      </c>
      <c r="O1002" t="s">
        <v>1380</v>
      </c>
    </row>
    <row r="1003" spans="1:15" x14ac:dyDescent="0.6">
      <c r="I1003" s="2">
        <v>7</v>
      </c>
      <c r="J1003" s="2">
        <v>2</v>
      </c>
      <c r="K1003" t="s">
        <v>1320</v>
      </c>
      <c r="L1003" t="str">
        <f t="shared" si="19"/>
        <v>T</v>
      </c>
      <c r="M1003" t="s">
        <v>4</v>
      </c>
      <c r="N1003" t="s">
        <v>1323</v>
      </c>
      <c r="O1003" t="s">
        <v>1381</v>
      </c>
    </row>
    <row r="1004" spans="1:15" x14ac:dyDescent="0.6">
      <c r="I1004" s="2">
        <v>8</v>
      </c>
      <c r="J1004" s="2">
        <v>3</v>
      </c>
      <c r="K1004" t="s">
        <v>18</v>
      </c>
      <c r="L1004" t="str">
        <f t="shared" si="19"/>
        <v>Z</v>
      </c>
      <c r="M1004" t="s">
        <v>3</v>
      </c>
      <c r="N1004" t="s">
        <v>150</v>
      </c>
      <c r="O1004" t="s">
        <v>1382</v>
      </c>
    </row>
    <row r="1005" spans="1:15" x14ac:dyDescent="0.6">
      <c r="I1005" s="2">
        <v>9</v>
      </c>
      <c r="J1005" s="2">
        <v>4</v>
      </c>
      <c r="K1005" t="s">
        <v>36</v>
      </c>
      <c r="L1005" t="str">
        <f t="shared" si="19"/>
        <v>Z</v>
      </c>
      <c r="M1005" t="s">
        <v>4</v>
      </c>
      <c r="N1005" t="s">
        <v>1321</v>
      </c>
      <c r="O1005" t="s">
        <v>1383</v>
      </c>
    </row>
    <row r="1006" spans="1:15" x14ac:dyDescent="0.6">
      <c r="L1006" t="str">
        <f t="shared" si="19"/>
        <v/>
      </c>
    </row>
    <row r="1007" spans="1:15" x14ac:dyDescent="0.6">
      <c r="L1007" t="str">
        <f t="shared" si="19"/>
        <v/>
      </c>
    </row>
    <row r="1008" spans="1:15" x14ac:dyDescent="0.6">
      <c r="L1008" t="str">
        <f t="shared" si="19"/>
        <v/>
      </c>
    </row>
    <row r="1009" spans="12:12" x14ac:dyDescent="0.6">
      <c r="L1009" t="str">
        <f t="shared" si="19"/>
        <v/>
      </c>
    </row>
    <row r="1010" spans="12:12" x14ac:dyDescent="0.6">
      <c r="L1010" t="str">
        <f t="shared" si="19"/>
        <v/>
      </c>
    </row>
    <row r="1011" spans="12:12" x14ac:dyDescent="0.6">
      <c r="L1011" t="str">
        <f t="shared" si="19"/>
        <v/>
      </c>
    </row>
    <row r="1012" spans="12:12" x14ac:dyDescent="0.6">
      <c r="L1012" t="str">
        <f t="shared" si="19"/>
        <v/>
      </c>
    </row>
    <row r="1013" spans="12:12" x14ac:dyDescent="0.6">
      <c r="L1013" t="str">
        <f t="shared" si="19"/>
        <v/>
      </c>
    </row>
    <row r="1014" spans="12:12" x14ac:dyDescent="0.6">
      <c r="L1014" t="str">
        <f t="shared" si="19"/>
        <v/>
      </c>
    </row>
    <row r="1015" spans="12:12" x14ac:dyDescent="0.6">
      <c r="L1015" t="str">
        <f t="shared" si="19"/>
        <v/>
      </c>
    </row>
    <row r="1016" spans="12:12" x14ac:dyDescent="0.6">
      <c r="L1016" t="str">
        <f t="shared" si="19"/>
        <v/>
      </c>
    </row>
    <row r="1017" spans="12:12" x14ac:dyDescent="0.6">
      <c r="L1017" t="str">
        <f t="shared" si="19"/>
        <v/>
      </c>
    </row>
    <row r="1018" spans="12:12" x14ac:dyDescent="0.6">
      <c r="L1018" t="str">
        <f t="shared" si="19"/>
        <v/>
      </c>
    </row>
    <row r="1019" spans="12:12" x14ac:dyDescent="0.6">
      <c r="L1019" t="str">
        <f t="shared" si="19"/>
        <v/>
      </c>
    </row>
    <row r="1020" spans="12:12" x14ac:dyDescent="0.6">
      <c r="L1020" t="str">
        <f t="shared" si="19"/>
        <v/>
      </c>
    </row>
    <row r="1021" spans="12:12" x14ac:dyDescent="0.6">
      <c r="L1021" t="str">
        <f t="shared" si="19"/>
        <v/>
      </c>
    </row>
    <row r="1022" spans="12:12" x14ac:dyDescent="0.6">
      <c r="L1022" t="str">
        <f t="shared" si="19"/>
        <v/>
      </c>
    </row>
    <row r="1023" spans="12:12" x14ac:dyDescent="0.6">
      <c r="L1023" t="str">
        <f t="shared" si="19"/>
        <v/>
      </c>
    </row>
    <row r="1024" spans="12:12" x14ac:dyDescent="0.6">
      <c r="L1024" t="str">
        <f t="shared" si="19"/>
        <v/>
      </c>
    </row>
    <row r="1025" spans="12:12" x14ac:dyDescent="0.6">
      <c r="L1025" t="str">
        <f t="shared" si="19"/>
        <v/>
      </c>
    </row>
    <row r="1026" spans="12:12" x14ac:dyDescent="0.6">
      <c r="L1026" t="str">
        <f t="shared" si="19"/>
        <v/>
      </c>
    </row>
    <row r="1027" spans="12:12" x14ac:dyDescent="0.6">
      <c r="L1027" t="str">
        <f t="shared" si="19"/>
        <v/>
      </c>
    </row>
    <row r="1028" spans="12:12" x14ac:dyDescent="0.6">
      <c r="L1028" t="str">
        <f t="shared" si="19"/>
        <v/>
      </c>
    </row>
    <row r="1029" spans="12:12" x14ac:dyDescent="0.6">
      <c r="L1029" t="str">
        <f t="shared" si="19"/>
        <v/>
      </c>
    </row>
    <row r="1030" spans="12:12" x14ac:dyDescent="0.6">
      <c r="L1030" t="str">
        <f t="shared" si="19"/>
        <v/>
      </c>
    </row>
    <row r="1031" spans="12:12" x14ac:dyDescent="0.6">
      <c r="L1031" t="str">
        <f t="shared" si="19"/>
        <v/>
      </c>
    </row>
    <row r="1032" spans="12:12" x14ac:dyDescent="0.6">
      <c r="L1032" t="str">
        <f t="shared" si="19"/>
        <v/>
      </c>
    </row>
    <row r="1033" spans="12:12" x14ac:dyDescent="0.6">
      <c r="L1033" t="str">
        <f t="shared" si="19"/>
        <v/>
      </c>
    </row>
    <row r="1034" spans="12:12" x14ac:dyDescent="0.6">
      <c r="L1034" t="str">
        <f t="shared" si="19"/>
        <v/>
      </c>
    </row>
    <row r="1035" spans="12:12" x14ac:dyDescent="0.6">
      <c r="L1035" t="str">
        <f t="shared" si="19"/>
        <v/>
      </c>
    </row>
    <row r="1036" spans="12:12" x14ac:dyDescent="0.6">
      <c r="L1036" t="str">
        <f t="shared" si="19"/>
        <v/>
      </c>
    </row>
    <row r="1037" spans="12:12" x14ac:dyDescent="0.6">
      <c r="L1037" t="str">
        <f t="shared" si="19"/>
        <v/>
      </c>
    </row>
    <row r="1038" spans="12:12" x14ac:dyDescent="0.6">
      <c r="L1038" t="str">
        <f t="shared" si="19"/>
        <v/>
      </c>
    </row>
    <row r="1039" spans="12:12" x14ac:dyDescent="0.6">
      <c r="L1039" t="str">
        <f t="shared" si="19"/>
        <v/>
      </c>
    </row>
    <row r="1040" spans="12:12" x14ac:dyDescent="0.6">
      <c r="L1040" t="str">
        <f t="shared" si="19"/>
        <v/>
      </c>
    </row>
    <row r="1041" spans="12:12" x14ac:dyDescent="0.6">
      <c r="L1041" t="str">
        <f t="shared" si="19"/>
        <v/>
      </c>
    </row>
    <row r="1042" spans="12:12" x14ac:dyDescent="0.6">
      <c r="L1042" t="str">
        <f t="shared" si="19"/>
        <v/>
      </c>
    </row>
    <row r="1043" spans="12:12" x14ac:dyDescent="0.6">
      <c r="L1043" t="str">
        <f t="shared" si="19"/>
        <v/>
      </c>
    </row>
    <row r="1044" spans="12:12" x14ac:dyDescent="0.6">
      <c r="L1044" t="str">
        <f t="shared" si="19"/>
        <v/>
      </c>
    </row>
    <row r="1045" spans="12:12" x14ac:dyDescent="0.6">
      <c r="L1045" t="str">
        <f t="shared" si="19"/>
        <v/>
      </c>
    </row>
    <row r="1046" spans="12:12" x14ac:dyDescent="0.6">
      <c r="L1046" t="str">
        <f t="shared" si="19"/>
        <v/>
      </c>
    </row>
    <row r="1047" spans="12:12" x14ac:dyDescent="0.6">
      <c r="L1047" t="str">
        <f t="shared" si="19"/>
        <v/>
      </c>
    </row>
    <row r="1048" spans="12:12" x14ac:dyDescent="0.6">
      <c r="L1048" t="str">
        <f t="shared" si="19"/>
        <v/>
      </c>
    </row>
    <row r="1049" spans="12:12" x14ac:dyDescent="0.6">
      <c r="L1049" t="str">
        <f t="shared" si="19"/>
        <v/>
      </c>
    </row>
    <row r="1050" spans="12:12" x14ac:dyDescent="0.6">
      <c r="L1050" t="str">
        <f t="shared" si="19"/>
        <v/>
      </c>
    </row>
    <row r="1051" spans="12:12" x14ac:dyDescent="0.6">
      <c r="L1051" t="str">
        <f t="shared" si="19"/>
        <v/>
      </c>
    </row>
    <row r="1052" spans="12:12" x14ac:dyDescent="0.6">
      <c r="L1052" t="str">
        <f t="shared" si="19"/>
        <v/>
      </c>
    </row>
    <row r="1053" spans="12:12" x14ac:dyDescent="0.6">
      <c r="L1053" t="str">
        <f t="shared" si="19"/>
        <v/>
      </c>
    </row>
    <row r="1054" spans="12:12" x14ac:dyDescent="0.6">
      <c r="L1054" t="str">
        <f t="shared" si="19"/>
        <v/>
      </c>
    </row>
    <row r="1055" spans="12:12" x14ac:dyDescent="0.6">
      <c r="L1055" t="str">
        <f t="shared" si="19"/>
        <v/>
      </c>
    </row>
    <row r="1056" spans="12:12" x14ac:dyDescent="0.6">
      <c r="L1056" t="str">
        <f t="shared" si="19"/>
        <v/>
      </c>
    </row>
    <row r="1057" spans="12:12" x14ac:dyDescent="0.6">
      <c r="L1057" t="str">
        <f t="shared" si="19"/>
        <v/>
      </c>
    </row>
    <row r="1058" spans="12:12" x14ac:dyDescent="0.6">
      <c r="L1058" t="str">
        <f t="shared" si="19"/>
        <v/>
      </c>
    </row>
    <row r="1059" spans="12:12" x14ac:dyDescent="0.6">
      <c r="L1059" t="str">
        <f t="shared" si="19"/>
        <v/>
      </c>
    </row>
    <row r="1060" spans="12:12" x14ac:dyDescent="0.6">
      <c r="L1060" t="str">
        <f t="shared" si="19"/>
        <v/>
      </c>
    </row>
    <row r="1061" spans="12:12" x14ac:dyDescent="0.6">
      <c r="L1061" t="str">
        <f t="shared" ref="L1061:L1124" si="20">IFERROR(INDEX($R$2:$R$99,MATCH(K1061,$Q$2:$Q$99,0)),"")</f>
        <v/>
      </c>
    </row>
    <row r="1062" spans="12:12" x14ac:dyDescent="0.6">
      <c r="L1062" t="str">
        <f t="shared" si="20"/>
        <v/>
      </c>
    </row>
    <row r="1063" spans="12:12" x14ac:dyDescent="0.6">
      <c r="L1063" t="str">
        <f t="shared" si="20"/>
        <v/>
      </c>
    </row>
    <row r="1064" spans="12:12" x14ac:dyDescent="0.6">
      <c r="L1064" t="str">
        <f t="shared" si="20"/>
        <v/>
      </c>
    </row>
    <row r="1065" spans="12:12" x14ac:dyDescent="0.6">
      <c r="L1065" t="str">
        <f t="shared" si="20"/>
        <v/>
      </c>
    </row>
    <row r="1066" spans="12:12" x14ac:dyDescent="0.6">
      <c r="L1066" t="str">
        <f t="shared" si="20"/>
        <v/>
      </c>
    </row>
    <row r="1067" spans="12:12" x14ac:dyDescent="0.6">
      <c r="L1067" t="str">
        <f t="shared" si="20"/>
        <v/>
      </c>
    </row>
    <row r="1068" spans="12:12" x14ac:dyDescent="0.6">
      <c r="L1068" t="str">
        <f t="shared" si="20"/>
        <v/>
      </c>
    </row>
    <row r="1069" spans="12:12" x14ac:dyDescent="0.6">
      <c r="L1069" t="str">
        <f t="shared" si="20"/>
        <v/>
      </c>
    </row>
    <row r="1070" spans="12:12" x14ac:dyDescent="0.6">
      <c r="L1070" t="str">
        <f t="shared" si="20"/>
        <v/>
      </c>
    </row>
    <row r="1071" spans="12:12" x14ac:dyDescent="0.6">
      <c r="L1071" t="str">
        <f t="shared" si="20"/>
        <v/>
      </c>
    </row>
    <row r="1072" spans="12:12" x14ac:dyDescent="0.6">
      <c r="L1072" t="str">
        <f t="shared" si="20"/>
        <v/>
      </c>
    </row>
    <row r="1073" spans="12:12" x14ac:dyDescent="0.6">
      <c r="L1073" t="str">
        <f t="shared" si="20"/>
        <v/>
      </c>
    </row>
    <row r="1074" spans="12:12" x14ac:dyDescent="0.6">
      <c r="L1074" t="str">
        <f t="shared" si="20"/>
        <v/>
      </c>
    </row>
    <row r="1075" spans="12:12" x14ac:dyDescent="0.6">
      <c r="L1075" t="str">
        <f t="shared" si="20"/>
        <v/>
      </c>
    </row>
    <row r="1076" spans="12:12" x14ac:dyDescent="0.6">
      <c r="L1076" t="str">
        <f t="shared" si="20"/>
        <v/>
      </c>
    </row>
    <row r="1077" spans="12:12" x14ac:dyDescent="0.6">
      <c r="L1077" t="str">
        <f t="shared" si="20"/>
        <v/>
      </c>
    </row>
    <row r="1078" spans="12:12" x14ac:dyDescent="0.6">
      <c r="L1078" t="str">
        <f t="shared" si="20"/>
        <v/>
      </c>
    </row>
    <row r="1079" spans="12:12" x14ac:dyDescent="0.6">
      <c r="L1079" t="str">
        <f t="shared" si="20"/>
        <v/>
      </c>
    </row>
    <row r="1080" spans="12:12" x14ac:dyDescent="0.6">
      <c r="L1080" t="str">
        <f t="shared" si="20"/>
        <v/>
      </c>
    </row>
    <row r="1081" spans="12:12" x14ac:dyDescent="0.6">
      <c r="L1081" t="str">
        <f t="shared" si="20"/>
        <v/>
      </c>
    </row>
    <row r="1082" spans="12:12" x14ac:dyDescent="0.6">
      <c r="L1082" t="str">
        <f t="shared" si="20"/>
        <v/>
      </c>
    </row>
    <row r="1083" spans="12:12" x14ac:dyDescent="0.6">
      <c r="L1083" t="str">
        <f t="shared" si="20"/>
        <v/>
      </c>
    </row>
    <row r="1084" spans="12:12" x14ac:dyDescent="0.6">
      <c r="L1084" t="str">
        <f t="shared" si="20"/>
        <v/>
      </c>
    </row>
    <row r="1085" spans="12:12" x14ac:dyDescent="0.6">
      <c r="L1085" t="str">
        <f t="shared" si="20"/>
        <v/>
      </c>
    </row>
    <row r="1086" spans="12:12" x14ac:dyDescent="0.6">
      <c r="L1086" t="str">
        <f t="shared" si="20"/>
        <v/>
      </c>
    </row>
    <row r="1087" spans="12:12" x14ac:dyDescent="0.6">
      <c r="L1087" t="str">
        <f t="shared" si="20"/>
        <v/>
      </c>
    </row>
    <row r="1088" spans="12:12" x14ac:dyDescent="0.6">
      <c r="L1088" t="str">
        <f t="shared" si="20"/>
        <v/>
      </c>
    </row>
    <row r="1089" spans="12:12" x14ac:dyDescent="0.6">
      <c r="L1089" t="str">
        <f t="shared" si="20"/>
        <v/>
      </c>
    </row>
    <row r="1090" spans="12:12" x14ac:dyDescent="0.6">
      <c r="L1090" t="str">
        <f t="shared" si="20"/>
        <v/>
      </c>
    </row>
    <row r="1091" spans="12:12" x14ac:dyDescent="0.6">
      <c r="L1091" t="str">
        <f t="shared" si="20"/>
        <v/>
      </c>
    </row>
    <row r="1092" spans="12:12" x14ac:dyDescent="0.6">
      <c r="L1092" t="str">
        <f t="shared" si="20"/>
        <v/>
      </c>
    </row>
    <row r="1093" spans="12:12" x14ac:dyDescent="0.6">
      <c r="L1093" t="str">
        <f t="shared" si="20"/>
        <v/>
      </c>
    </row>
    <row r="1094" spans="12:12" x14ac:dyDescent="0.6">
      <c r="L1094" t="str">
        <f t="shared" si="20"/>
        <v/>
      </c>
    </row>
    <row r="1095" spans="12:12" x14ac:dyDescent="0.6">
      <c r="L1095" t="str">
        <f t="shared" si="20"/>
        <v/>
      </c>
    </row>
    <row r="1096" spans="12:12" x14ac:dyDescent="0.6">
      <c r="L1096" t="str">
        <f t="shared" si="20"/>
        <v/>
      </c>
    </row>
    <row r="1097" spans="12:12" x14ac:dyDescent="0.6">
      <c r="L1097" t="str">
        <f t="shared" si="20"/>
        <v/>
      </c>
    </row>
    <row r="1098" spans="12:12" x14ac:dyDescent="0.6">
      <c r="L1098" t="str">
        <f t="shared" si="20"/>
        <v/>
      </c>
    </row>
    <row r="1099" spans="12:12" x14ac:dyDescent="0.6">
      <c r="L1099" t="str">
        <f t="shared" si="20"/>
        <v/>
      </c>
    </row>
    <row r="1100" spans="12:12" x14ac:dyDescent="0.6">
      <c r="L1100" t="str">
        <f t="shared" si="20"/>
        <v/>
      </c>
    </row>
    <row r="1101" spans="12:12" x14ac:dyDescent="0.6">
      <c r="L1101" t="str">
        <f t="shared" si="20"/>
        <v/>
      </c>
    </row>
    <row r="1102" spans="12:12" x14ac:dyDescent="0.6">
      <c r="L1102" t="str">
        <f t="shared" si="20"/>
        <v/>
      </c>
    </row>
    <row r="1103" spans="12:12" x14ac:dyDescent="0.6">
      <c r="L1103" t="str">
        <f t="shared" si="20"/>
        <v/>
      </c>
    </row>
    <row r="1104" spans="12:12" x14ac:dyDescent="0.6">
      <c r="L1104" t="str">
        <f t="shared" si="20"/>
        <v/>
      </c>
    </row>
    <row r="1105" spans="12:12" x14ac:dyDescent="0.6">
      <c r="L1105" t="str">
        <f t="shared" si="20"/>
        <v/>
      </c>
    </row>
    <row r="1106" spans="12:12" x14ac:dyDescent="0.6">
      <c r="L1106" t="str">
        <f t="shared" si="20"/>
        <v/>
      </c>
    </row>
    <row r="1107" spans="12:12" x14ac:dyDescent="0.6">
      <c r="L1107" t="str">
        <f t="shared" si="20"/>
        <v/>
      </c>
    </row>
    <row r="1108" spans="12:12" x14ac:dyDescent="0.6">
      <c r="L1108" t="str">
        <f t="shared" si="20"/>
        <v/>
      </c>
    </row>
    <row r="1109" spans="12:12" x14ac:dyDescent="0.6">
      <c r="L1109" t="str">
        <f t="shared" si="20"/>
        <v/>
      </c>
    </row>
    <row r="1110" spans="12:12" x14ac:dyDescent="0.6">
      <c r="L1110" t="str">
        <f t="shared" si="20"/>
        <v/>
      </c>
    </row>
    <row r="1111" spans="12:12" x14ac:dyDescent="0.6">
      <c r="L1111" t="str">
        <f t="shared" si="20"/>
        <v/>
      </c>
    </row>
    <row r="1112" spans="12:12" x14ac:dyDescent="0.6">
      <c r="L1112" t="str">
        <f t="shared" si="20"/>
        <v/>
      </c>
    </row>
    <row r="1113" spans="12:12" x14ac:dyDescent="0.6">
      <c r="L1113" t="str">
        <f t="shared" si="20"/>
        <v/>
      </c>
    </row>
    <row r="1114" spans="12:12" x14ac:dyDescent="0.6">
      <c r="L1114" t="str">
        <f t="shared" si="20"/>
        <v/>
      </c>
    </row>
    <row r="1115" spans="12:12" x14ac:dyDescent="0.6">
      <c r="L1115" t="str">
        <f t="shared" si="20"/>
        <v/>
      </c>
    </row>
    <row r="1116" spans="12:12" x14ac:dyDescent="0.6">
      <c r="L1116" t="str">
        <f t="shared" si="20"/>
        <v/>
      </c>
    </row>
    <row r="1117" spans="12:12" x14ac:dyDescent="0.6">
      <c r="L1117" t="str">
        <f t="shared" si="20"/>
        <v/>
      </c>
    </row>
    <row r="1118" spans="12:12" x14ac:dyDescent="0.6">
      <c r="L1118" t="str">
        <f t="shared" si="20"/>
        <v/>
      </c>
    </row>
    <row r="1119" spans="12:12" x14ac:dyDescent="0.6">
      <c r="L1119" t="str">
        <f t="shared" si="20"/>
        <v/>
      </c>
    </row>
    <row r="1120" spans="12:12" x14ac:dyDescent="0.6">
      <c r="L1120" t="str">
        <f t="shared" si="20"/>
        <v/>
      </c>
    </row>
    <row r="1121" spans="12:12" x14ac:dyDescent="0.6">
      <c r="L1121" t="str">
        <f t="shared" si="20"/>
        <v/>
      </c>
    </row>
    <row r="1122" spans="12:12" x14ac:dyDescent="0.6">
      <c r="L1122" t="str">
        <f t="shared" si="20"/>
        <v/>
      </c>
    </row>
    <row r="1123" spans="12:12" x14ac:dyDescent="0.6">
      <c r="L1123" t="str">
        <f t="shared" si="20"/>
        <v/>
      </c>
    </row>
    <row r="1124" spans="12:12" x14ac:dyDescent="0.6">
      <c r="L1124" t="str">
        <f t="shared" si="20"/>
        <v/>
      </c>
    </row>
    <row r="1125" spans="12:12" x14ac:dyDescent="0.6">
      <c r="L1125" t="str">
        <f t="shared" ref="L1125:L1188" si="21">IFERROR(INDEX($R$2:$R$99,MATCH(K1125,$Q$2:$Q$99,0)),"")</f>
        <v/>
      </c>
    </row>
    <row r="1126" spans="12:12" x14ac:dyDescent="0.6">
      <c r="L1126" t="str">
        <f t="shared" si="21"/>
        <v/>
      </c>
    </row>
    <row r="1127" spans="12:12" x14ac:dyDescent="0.6">
      <c r="L1127" t="str">
        <f t="shared" si="21"/>
        <v/>
      </c>
    </row>
    <row r="1128" spans="12:12" x14ac:dyDescent="0.6">
      <c r="L1128" t="str">
        <f t="shared" si="21"/>
        <v/>
      </c>
    </row>
    <row r="1129" spans="12:12" x14ac:dyDescent="0.6">
      <c r="L1129" t="str">
        <f t="shared" si="21"/>
        <v/>
      </c>
    </row>
    <row r="1130" spans="12:12" x14ac:dyDescent="0.6">
      <c r="L1130" t="str">
        <f t="shared" si="21"/>
        <v/>
      </c>
    </row>
    <row r="1131" spans="12:12" x14ac:dyDescent="0.6">
      <c r="L1131" t="str">
        <f t="shared" si="21"/>
        <v/>
      </c>
    </row>
    <row r="1132" spans="12:12" x14ac:dyDescent="0.6">
      <c r="L1132" t="str">
        <f t="shared" si="21"/>
        <v/>
      </c>
    </row>
    <row r="1133" spans="12:12" x14ac:dyDescent="0.6">
      <c r="L1133" t="str">
        <f t="shared" si="21"/>
        <v/>
      </c>
    </row>
    <row r="1134" spans="12:12" x14ac:dyDescent="0.6">
      <c r="L1134" t="str">
        <f t="shared" si="21"/>
        <v/>
      </c>
    </row>
    <row r="1135" spans="12:12" x14ac:dyDescent="0.6">
      <c r="L1135" t="str">
        <f t="shared" si="21"/>
        <v/>
      </c>
    </row>
    <row r="1136" spans="12:12" x14ac:dyDescent="0.6">
      <c r="L1136" t="str">
        <f t="shared" si="21"/>
        <v/>
      </c>
    </row>
    <row r="1137" spans="12:12" x14ac:dyDescent="0.6">
      <c r="L1137" t="str">
        <f t="shared" si="21"/>
        <v/>
      </c>
    </row>
    <row r="1138" spans="12:12" x14ac:dyDescent="0.6">
      <c r="L1138" t="str">
        <f t="shared" si="21"/>
        <v/>
      </c>
    </row>
    <row r="1139" spans="12:12" x14ac:dyDescent="0.6">
      <c r="L1139" t="str">
        <f t="shared" si="21"/>
        <v/>
      </c>
    </row>
    <row r="1140" spans="12:12" x14ac:dyDescent="0.6">
      <c r="L1140" t="str">
        <f t="shared" si="21"/>
        <v/>
      </c>
    </row>
    <row r="1141" spans="12:12" x14ac:dyDescent="0.6">
      <c r="L1141" t="str">
        <f t="shared" si="21"/>
        <v/>
      </c>
    </row>
    <row r="1142" spans="12:12" x14ac:dyDescent="0.6">
      <c r="L1142" t="str">
        <f t="shared" si="21"/>
        <v/>
      </c>
    </row>
    <row r="1143" spans="12:12" x14ac:dyDescent="0.6">
      <c r="L1143" t="str">
        <f t="shared" si="21"/>
        <v/>
      </c>
    </row>
    <row r="1144" spans="12:12" x14ac:dyDescent="0.6">
      <c r="L1144" t="str">
        <f t="shared" si="21"/>
        <v/>
      </c>
    </row>
    <row r="1145" spans="12:12" x14ac:dyDescent="0.6">
      <c r="L1145" t="str">
        <f t="shared" si="21"/>
        <v/>
      </c>
    </row>
    <row r="1146" spans="12:12" x14ac:dyDescent="0.6">
      <c r="L1146" t="str">
        <f t="shared" si="21"/>
        <v/>
      </c>
    </row>
    <row r="1147" spans="12:12" x14ac:dyDescent="0.6">
      <c r="L1147" t="str">
        <f t="shared" si="21"/>
        <v/>
      </c>
    </row>
    <row r="1148" spans="12:12" x14ac:dyDescent="0.6">
      <c r="L1148" t="str">
        <f t="shared" si="21"/>
        <v/>
      </c>
    </row>
    <row r="1149" spans="12:12" x14ac:dyDescent="0.6">
      <c r="L1149" t="str">
        <f t="shared" si="21"/>
        <v/>
      </c>
    </row>
    <row r="1150" spans="12:12" x14ac:dyDescent="0.6">
      <c r="L1150" t="str">
        <f t="shared" si="21"/>
        <v/>
      </c>
    </row>
    <row r="1151" spans="12:12" x14ac:dyDescent="0.6">
      <c r="L1151" t="str">
        <f t="shared" si="21"/>
        <v/>
      </c>
    </row>
    <row r="1152" spans="12:12" x14ac:dyDescent="0.6">
      <c r="L1152" t="str">
        <f t="shared" si="21"/>
        <v/>
      </c>
    </row>
    <row r="1153" spans="12:12" x14ac:dyDescent="0.6">
      <c r="L1153" t="str">
        <f t="shared" si="21"/>
        <v/>
      </c>
    </row>
    <row r="1154" spans="12:12" x14ac:dyDescent="0.6">
      <c r="L1154" t="str">
        <f t="shared" si="21"/>
        <v/>
      </c>
    </row>
    <row r="1155" spans="12:12" x14ac:dyDescent="0.6">
      <c r="L1155" t="str">
        <f t="shared" si="21"/>
        <v/>
      </c>
    </row>
    <row r="1156" spans="12:12" x14ac:dyDescent="0.6">
      <c r="L1156" t="str">
        <f t="shared" si="21"/>
        <v/>
      </c>
    </row>
    <row r="1157" spans="12:12" x14ac:dyDescent="0.6">
      <c r="L1157" t="str">
        <f t="shared" si="21"/>
        <v/>
      </c>
    </row>
    <row r="1158" spans="12:12" x14ac:dyDescent="0.6">
      <c r="L1158" t="str">
        <f t="shared" si="21"/>
        <v/>
      </c>
    </row>
    <row r="1159" spans="12:12" x14ac:dyDescent="0.6">
      <c r="L1159" t="str">
        <f t="shared" si="21"/>
        <v/>
      </c>
    </row>
    <row r="1160" spans="12:12" x14ac:dyDescent="0.6">
      <c r="L1160" t="str">
        <f t="shared" si="21"/>
        <v/>
      </c>
    </row>
    <row r="1161" spans="12:12" x14ac:dyDescent="0.6">
      <c r="L1161" t="str">
        <f t="shared" si="21"/>
        <v/>
      </c>
    </row>
    <row r="1162" spans="12:12" x14ac:dyDescent="0.6">
      <c r="L1162" t="str">
        <f t="shared" si="21"/>
        <v/>
      </c>
    </row>
    <row r="1163" spans="12:12" x14ac:dyDescent="0.6">
      <c r="L1163" t="str">
        <f t="shared" si="21"/>
        <v/>
      </c>
    </row>
    <row r="1164" spans="12:12" x14ac:dyDescent="0.6">
      <c r="L1164" t="str">
        <f t="shared" si="21"/>
        <v/>
      </c>
    </row>
    <row r="1165" spans="12:12" x14ac:dyDescent="0.6">
      <c r="L1165" t="str">
        <f t="shared" si="21"/>
        <v/>
      </c>
    </row>
    <row r="1166" spans="12:12" x14ac:dyDescent="0.6">
      <c r="L1166" t="str">
        <f t="shared" si="21"/>
        <v/>
      </c>
    </row>
    <row r="1167" spans="12:12" x14ac:dyDescent="0.6">
      <c r="L1167" t="str">
        <f t="shared" si="21"/>
        <v/>
      </c>
    </row>
    <row r="1168" spans="12:12" x14ac:dyDescent="0.6">
      <c r="L1168" t="str">
        <f t="shared" si="21"/>
        <v/>
      </c>
    </row>
    <row r="1169" spans="12:12" x14ac:dyDescent="0.6">
      <c r="L1169" t="str">
        <f t="shared" si="21"/>
        <v/>
      </c>
    </row>
    <row r="1170" spans="12:12" x14ac:dyDescent="0.6">
      <c r="L1170" t="str">
        <f t="shared" si="21"/>
        <v/>
      </c>
    </row>
    <row r="1171" spans="12:12" x14ac:dyDescent="0.6">
      <c r="L1171" t="str">
        <f t="shared" si="21"/>
        <v/>
      </c>
    </row>
    <row r="1172" spans="12:12" x14ac:dyDescent="0.6">
      <c r="L1172" t="str">
        <f t="shared" si="21"/>
        <v/>
      </c>
    </row>
    <row r="1173" spans="12:12" x14ac:dyDescent="0.6">
      <c r="L1173" t="str">
        <f t="shared" si="21"/>
        <v/>
      </c>
    </row>
    <row r="1174" spans="12:12" x14ac:dyDescent="0.6">
      <c r="L1174" t="str">
        <f t="shared" si="21"/>
        <v/>
      </c>
    </row>
    <row r="1175" spans="12:12" x14ac:dyDescent="0.6">
      <c r="L1175" t="str">
        <f t="shared" si="21"/>
        <v/>
      </c>
    </row>
    <row r="1176" spans="12:12" x14ac:dyDescent="0.6">
      <c r="L1176" t="str">
        <f t="shared" si="21"/>
        <v/>
      </c>
    </row>
    <row r="1177" spans="12:12" x14ac:dyDescent="0.6">
      <c r="L1177" t="str">
        <f t="shared" si="21"/>
        <v/>
      </c>
    </row>
    <row r="1178" spans="12:12" x14ac:dyDescent="0.6">
      <c r="L1178" t="str">
        <f t="shared" si="21"/>
        <v/>
      </c>
    </row>
    <row r="1179" spans="12:12" x14ac:dyDescent="0.6">
      <c r="L1179" t="str">
        <f t="shared" si="21"/>
        <v/>
      </c>
    </row>
    <row r="1180" spans="12:12" x14ac:dyDescent="0.6">
      <c r="L1180" t="str">
        <f t="shared" si="21"/>
        <v/>
      </c>
    </row>
    <row r="1181" spans="12:12" x14ac:dyDescent="0.6">
      <c r="L1181" t="str">
        <f t="shared" si="21"/>
        <v/>
      </c>
    </row>
    <row r="1182" spans="12:12" x14ac:dyDescent="0.6">
      <c r="L1182" t="str">
        <f t="shared" si="21"/>
        <v/>
      </c>
    </row>
    <row r="1183" spans="12:12" x14ac:dyDescent="0.6">
      <c r="L1183" t="str">
        <f t="shared" si="21"/>
        <v/>
      </c>
    </row>
    <row r="1184" spans="12:12" x14ac:dyDescent="0.6">
      <c r="L1184" t="str">
        <f t="shared" si="21"/>
        <v/>
      </c>
    </row>
    <row r="1185" spans="12:12" x14ac:dyDescent="0.6">
      <c r="L1185" t="str">
        <f t="shared" si="21"/>
        <v/>
      </c>
    </row>
    <row r="1186" spans="12:12" x14ac:dyDescent="0.6">
      <c r="L1186" t="str">
        <f t="shared" si="21"/>
        <v/>
      </c>
    </row>
    <row r="1187" spans="12:12" x14ac:dyDescent="0.6">
      <c r="L1187" t="str">
        <f t="shared" si="21"/>
        <v/>
      </c>
    </row>
    <row r="1188" spans="12:12" x14ac:dyDescent="0.6">
      <c r="L1188" t="str">
        <f t="shared" si="21"/>
        <v/>
      </c>
    </row>
    <row r="1189" spans="12:12" x14ac:dyDescent="0.6">
      <c r="L1189" t="str">
        <f t="shared" ref="L1189:L1225" si="22">IFERROR(INDEX($R$2:$R$99,MATCH(K1189,$Q$2:$Q$99,0)),"")</f>
        <v/>
      </c>
    </row>
    <row r="1190" spans="12:12" x14ac:dyDescent="0.6">
      <c r="L1190" t="str">
        <f t="shared" si="22"/>
        <v/>
      </c>
    </row>
    <row r="1191" spans="12:12" x14ac:dyDescent="0.6">
      <c r="L1191" t="str">
        <f t="shared" si="22"/>
        <v/>
      </c>
    </row>
    <row r="1192" spans="12:12" x14ac:dyDescent="0.6">
      <c r="L1192" t="str">
        <f t="shared" si="22"/>
        <v/>
      </c>
    </row>
    <row r="1193" spans="12:12" x14ac:dyDescent="0.6">
      <c r="L1193" t="str">
        <f t="shared" si="22"/>
        <v/>
      </c>
    </row>
    <row r="1194" spans="12:12" x14ac:dyDescent="0.6">
      <c r="L1194" t="str">
        <f t="shared" si="22"/>
        <v/>
      </c>
    </row>
    <row r="1195" spans="12:12" x14ac:dyDescent="0.6">
      <c r="L1195" t="str">
        <f t="shared" si="22"/>
        <v/>
      </c>
    </row>
    <row r="1196" spans="12:12" x14ac:dyDescent="0.6">
      <c r="L1196" t="str">
        <f t="shared" si="22"/>
        <v/>
      </c>
    </row>
    <row r="1197" spans="12:12" x14ac:dyDescent="0.6">
      <c r="L1197" t="str">
        <f t="shared" si="22"/>
        <v/>
      </c>
    </row>
    <row r="1198" spans="12:12" x14ac:dyDescent="0.6">
      <c r="L1198" t="str">
        <f t="shared" si="22"/>
        <v/>
      </c>
    </row>
    <row r="1199" spans="12:12" x14ac:dyDescent="0.6">
      <c r="L1199" t="str">
        <f t="shared" si="22"/>
        <v/>
      </c>
    </row>
    <row r="1200" spans="12:12" x14ac:dyDescent="0.6">
      <c r="L1200" t="str">
        <f t="shared" si="22"/>
        <v/>
      </c>
    </row>
    <row r="1201" spans="12:12" x14ac:dyDescent="0.6">
      <c r="L1201" t="str">
        <f t="shared" si="22"/>
        <v/>
      </c>
    </row>
    <row r="1202" spans="12:12" x14ac:dyDescent="0.6">
      <c r="L1202" t="str">
        <f t="shared" si="22"/>
        <v/>
      </c>
    </row>
    <row r="1203" spans="12:12" x14ac:dyDescent="0.6">
      <c r="L1203" t="str">
        <f t="shared" si="22"/>
        <v/>
      </c>
    </row>
    <row r="1204" spans="12:12" x14ac:dyDescent="0.6">
      <c r="L1204" t="str">
        <f t="shared" si="22"/>
        <v/>
      </c>
    </row>
    <row r="1205" spans="12:12" x14ac:dyDescent="0.6">
      <c r="L1205" t="str">
        <f t="shared" si="22"/>
        <v/>
      </c>
    </row>
    <row r="1206" spans="12:12" x14ac:dyDescent="0.6">
      <c r="L1206" t="str">
        <f t="shared" si="22"/>
        <v/>
      </c>
    </row>
    <row r="1207" spans="12:12" x14ac:dyDescent="0.6">
      <c r="L1207" t="str">
        <f t="shared" si="22"/>
        <v/>
      </c>
    </row>
    <row r="1208" spans="12:12" x14ac:dyDescent="0.6">
      <c r="L1208" t="str">
        <f t="shared" si="22"/>
        <v/>
      </c>
    </row>
    <row r="1209" spans="12:12" x14ac:dyDescent="0.6">
      <c r="L1209" t="str">
        <f t="shared" si="22"/>
        <v/>
      </c>
    </row>
    <row r="1210" spans="12:12" x14ac:dyDescent="0.6">
      <c r="L1210" t="str">
        <f t="shared" si="22"/>
        <v/>
      </c>
    </row>
    <row r="1211" spans="12:12" x14ac:dyDescent="0.6">
      <c r="L1211" t="str">
        <f t="shared" si="22"/>
        <v/>
      </c>
    </row>
    <row r="1212" spans="12:12" x14ac:dyDescent="0.6">
      <c r="L1212" t="str">
        <f t="shared" si="22"/>
        <v/>
      </c>
    </row>
    <row r="1213" spans="12:12" x14ac:dyDescent="0.6">
      <c r="L1213" t="str">
        <f t="shared" si="22"/>
        <v/>
      </c>
    </row>
    <row r="1214" spans="12:12" x14ac:dyDescent="0.6">
      <c r="L1214" t="str">
        <f t="shared" si="22"/>
        <v/>
      </c>
    </row>
    <row r="1215" spans="12:12" x14ac:dyDescent="0.6">
      <c r="L1215" t="str">
        <f t="shared" si="22"/>
        <v/>
      </c>
    </row>
    <row r="1216" spans="12:12" x14ac:dyDescent="0.6">
      <c r="L1216" t="str">
        <f t="shared" si="22"/>
        <v/>
      </c>
    </row>
    <row r="1217" spans="12:12" x14ac:dyDescent="0.6">
      <c r="L1217" t="str">
        <f t="shared" si="22"/>
        <v/>
      </c>
    </row>
    <row r="1218" spans="12:12" x14ac:dyDescent="0.6">
      <c r="L1218" t="str">
        <f t="shared" si="22"/>
        <v/>
      </c>
    </row>
    <row r="1219" spans="12:12" x14ac:dyDescent="0.6">
      <c r="L1219" t="str">
        <f t="shared" si="22"/>
        <v/>
      </c>
    </row>
    <row r="1220" spans="12:12" x14ac:dyDescent="0.6">
      <c r="L1220" t="str">
        <f t="shared" si="22"/>
        <v/>
      </c>
    </row>
    <row r="1221" spans="12:12" x14ac:dyDescent="0.6">
      <c r="L1221" t="str">
        <f t="shared" si="22"/>
        <v/>
      </c>
    </row>
    <row r="1222" spans="12:12" x14ac:dyDescent="0.6">
      <c r="L1222" t="str">
        <f t="shared" si="22"/>
        <v/>
      </c>
    </row>
    <row r="1223" spans="12:12" x14ac:dyDescent="0.6">
      <c r="L1223" t="str">
        <f t="shared" si="22"/>
        <v/>
      </c>
    </row>
    <row r="1224" spans="12:12" x14ac:dyDescent="0.6">
      <c r="L1224" t="str">
        <f t="shared" si="22"/>
        <v/>
      </c>
    </row>
    <row r="1225" spans="12:12" x14ac:dyDescent="0.6">
      <c r="L1225" t="str">
        <f t="shared" si="22"/>
        <v/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C35E-F149-4197-99EF-9C6108862CB8}">
  <dimension ref="B3:I31"/>
  <sheetViews>
    <sheetView workbookViewId="0">
      <selection activeCell="B19" sqref="B19:I31"/>
    </sheetView>
  </sheetViews>
  <sheetFormatPr defaultRowHeight="16.899999999999999" x14ac:dyDescent="0.6"/>
  <cols>
    <col min="2" max="7" width="12.75" customWidth="1"/>
    <col min="8" max="8" width="11.25" customWidth="1"/>
    <col min="9" max="9" width="10.9375" bestFit="1" customWidth="1"/>
  </cols>
  <sheetData>
    <row r="3" spans="2:9" x14ac:dyDescent="0.6">
      <c r="B3" t="s">
        <v>420</v>
      </c>
    </row>
    <row r="4" spans="2:9" x14ac:dyDescent="0.6">
      <c r="B4" s="3" t="s">
        <v>1</v>
      </c>
      <c r="C4" s="3" t="s">
        <v>0</v>
      </c>
      <c r="D4" s="3" t="s">
        <v>399</v>
      </c>
      <c r="E4" s="3" t="s">
        <v>400</v>
      </c>
      <c r="F4" s="3" t="s">
        <v>3</v>
      </c>
      <c r="G4" s="3" t="s">
        <v>4</v>
      </c>
      <c r="H4" s="6" t="s">
        <v>45</v>
      </c>
      <c r="I4" s="6"/>
    </row>
    <row r="5" spans="2:9" x14ac:dyDescent="0.6">
      <c r="B5" s="4">
        <v>46023</v>
      </c>
      <c r="C5" s="3" t="s">
        <v>398</v>
      </c>
      <c r="D5" s="3" t="s">
        <v>55</v>
      </c>
      <c r="E5" s="3" t="s">
        <v>401</v>
      </c>
      <c r="F5" s="3">
        <v>2</v>
      </c>
      <c r="G5" s="3">
        <v>5</v>
      </c>
      <c r="H5" s="3" t="s">
        <v>402</v>
      </c>
      <c r="I5" s="3" t="s">
        <v>426</v>
      </c>
    </row>
    <row r="6" spans="2:9" x14ac:dyDescent="0.6">
      <c r="E6" t="s">
        <v>403</v>
      </c>
      <c r="F6" t="s">
        <v>404</v>
      </c>
      <c r="G6" t="s">
        <v>14</v>
      </c>
      <c r="H6" t="s">
        <v>405</v>
      </c>
      <c r="I6" t="s">
        <v>45</v>
      </c>
    </row>
    <row r="7" spans="2:9" x14ac:dyDescent="0.6">
      <c r="E7">
        <v>1</v>
      </c>
      <c r="F7" t="s">
        <v>406</v>
      </c>
      <c r="G7" t="s">
        <v>3</v>
      </c>
      <c r="H7" t="s">
        <v>413</v>
      </c>
      <c r="I7" t="s">
        <v>425</v>
      </c>
    </row>
    <row r="8" spans="2:9" x14ac:dyDescent="0.6">
      <c r="E8">
        <v>2</v>
      </c>
      <c r="F8" t="s">
        <v>407</v>
      </c>
      <c r="G8" t="s">
        <v>4</v>
      </c>
      <c r="H8" t="s">
        <v>414</v>
      </c>
    </row>
    <row r="9" spans="2:9" x14ac:dyDescent="0.6">
      <c r="E9">
        <v>3</v>
      </c>
      <c r="F9" t="s">
        <v>408</v>
      </c>
      <c r="G9" t="s">
        <v>4</v>
      </c>
      <c r="H9" t="s">
        <v>415</v>
      </c>
    </row>
    <row r="10" spans="2:9" x14ac:dyDescent="0.6">
      <c r="E10">
        <v>4</v>
      </c>
      <c r="F10" t="s">
        <v>409</v>
      </c>
      <c r="G10" t="s">
        <v>4</v>
      </c>
      <c r="H10" t="s">
        <v>416</v>
      </c>
    </row>
    <row r="11" spans="2:9" x14ac:dyDescent="0.6">
      <c r="E11">
        <v>5</v>
      </c>
      <c r="F11" t="s">
        <v>410</v>
      </c>
      <c r="G11" t="s">
        <v>4</v>
      </c>
      <c r="H11" t="s">
        <v>417</v>
      </c>
    </row>
    <row r="12" spans="2:9" x14ac:dyDescent="0.6">
      <c r="E12">
        <v>6</v>
      </c>
      <c r="F12" t="s">
        <v>411</v>
      </c>
      <c r="G12" t="s">
        <v>3</v>
      </c>
      <c r="H12" t="s">
        <v>418</v>
      </c>
    </row>
    <row r="13" spans="2:9" x14ac:dyDescent="0.6">
      <c r="E13">
        <v>7</v>
      </c>
      <c r="F13" t="s">
        <v>412</v>
      </c>
      <c r="G13" t="s">
        <v>4</v>
      </c>
      <c r="H13" t="s">
        <v>419</v>
      </c>
    </row>
    <row r="19" spans="2:9" x14ac:dyDescent="0.6">
      <c r="B19" t="s">
        <v>421</v>
      </c>
    </row>
    <row r="20" spans="2:9" x14ac:dyDescent="0.6">
      <c r="B20" t="s">
        <v>8</v>
      </c>
      <c r="C20" t="s">
        <v>66</v>
      </c>
      <c r="D20" t="s">
        <v>18</v>
      </c>
      <c r="E20" t="s">
        <v>456</v>
      </c>
    </row>
    <row r="24" spans="2:9" x14ac:dyDescent="0.6">
      <c r="B24" t="s">
        <v>8</v>
      </c>
      <c r="C24" t="s">
        <v>454</v>
      </c>
    </row>
    <row r="25" spans="2:9" x14ac:dyDescent="0.6">
      <c r="B25" t="s">
        <v>422</v>
      </c>
      <c r="C25" t="s">
        <v>423</v>
      </c>
    </row>
    <row r="26" spans="2:9" x14ac:dyDescent="0.6">
      <c r="B26" t="s">
        <v>55</v>
      </c>
      <c r="C26" t="s">
        <v>423</v>
      </c>
    </row>
    <row r="27" spans="2:9" x14ac:dyDescent="0.6">
      <c r="B27" t="s">
        <v>94</v>
      </c>
      <c r="C27" t="s">
        <v>423</v>
      </c>
    </row>
    <row r="28" spans="2:9" x14ac:dyDescent="0.6">
      <c r="B28" s="4">
        <v>46053</v>
      </c>
      <c r="C28" s="3" t="s">
        <v>398</v>
      </c>
      <c r="D28" s="3" t="s">
        <v>55</v>
      </c>
      <c r="E28" t="s">
        <v>8</v>
      </c>
      <c r="F28" t="s">
        <v>429</v>
      </c>
      <c r="G28" t="s">
        <v>3</v>
      </c>
      <c r="H28" t="s">
        <v>424</v>
      </c>
      <c r="I28" t="s">
        <v>455</v>
      </c>
    </row>
    <row r="29" spans="2:9" x14ac:dyDescent="0.6">
      <c r="B29" s="4">
        <v>46052</v>
      </c>
      <c r="C29" s="3" t="s">
        <v>398</v>
      </c>
      <c r="D29" s="3" t="s">
        <v>55</v>
      </c>
      <c r="E29" t="s">
        <v>8</v>
      </c>
      <c r="F29" t="s">
        <v>429</v>
      </c>
      <c r="G29" t="s">
        <v>4</v>
      </c>
      <c r="H29" t="s">
        <v>424</v>
      </c>
    </row>
    <row r="30" spans="2:9" x14ac:dyDescent="0.6">
      <c r="B30" s="4">
        <v>46051</v>
      </c>
      <c r="C30" s="3" t="s">
        <v>398</v>
      </c>
      <c r="D30" s="3" t="s">
        <v>94</v>
      </c>
      <c r="E30" t="s">
        <v>8</v>
      </c>
      <c r="F30" t="s">
        <v>429</v>
      </c>
      <c r="G30" t="s">
        <v>3</v>
      </c>
      <c r="H30" t="s">
        <v>424</v>
      </c>
    </row>
    <row r="31" spans="2:9" x14ac:dyDescent="0.6">
      <c r="B31" s="4">
        <v>46050</v>
      </c>
      <c r="C31" s="3" t="s">
        <v>398</v>
      </c>
      <c r="D31" s="3" t="s">
        <v>55</v>
      </c>
      <c r="E31" t="s">
        <v>8</v>
      </c>
      <c r="F31" t="s">
        <v>429</v>
      </c>
      <c r="G31" t="s">
        <v>3</v>
      </c>
      <c r="H31" t="s">
        <v>424</v>
      </c>
    </row>
  </sheetData>
  <mergeCells count="1">
    <mergeCell ref="H4:I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Hyungjoon Joo</dc:creator>
  <cp:lastModifiedBy>Hyungjoon Joo</cp:lastModifiedBy>
  <dcterms:created xsi:type="dcterms:W3CDTF">2026-05-22T07:54:26Z</dcterms:created>
  <dcterms:modified xsi:type="dcterms:W3CDTF">2026-06-04T10:56:10Z</dcterms:modified>
</cp:coreProperties>
</file>