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8D7F0DC2-FC5D-4F96-8CAD-43A41B7A9CDA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E1047" i="1"/>
  <c r="F1038" i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47" i="1" l="1"/>
  <c r="G1038" i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47" i="1" l="1"/>
  <c r="D1038" i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<sst xmlns="http://schemas.openxmlformats.org/spreadsheetml/2006/main" count="4985" uniqueCount="1529">
  <si>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</si>
  <si>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</si>
  <si>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</si>
  <si>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</si>
  <si>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</si>
  <si>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</si>
  <si>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</si>
  <si>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</si>
  <si>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</si>
  <si>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</si>
  <si>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</si>
  <si>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</si>
  <si>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</si>
  <si>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</si>
  <si>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</si>
  <si>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</si>
  <si>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</si>
  <si>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</si>
  <si>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</si>
  <si>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</si>
  <si>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</si>
  <si>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</si>
  <si>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</si>
  <si>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</si>
  <si>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</si>
  <si>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</si>
  <si>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</si>
  <si>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</si>
  <si>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</si>
  <si>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</si>
  <si>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</si>
  <si>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</si>
  <si>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</si>
  <si>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</si>
  <si>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</si>
  <si>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</si>
  <si>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</si>
  <si>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</si>
  <si>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</si>
  <si>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</si>
  <si>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</si>
  <si>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</si>
  <si>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</si>
  <si>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</si>
  <si>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</si>
  <si>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</si>
  <si>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</si>
  <si>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</si>
  <si>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</si>
  <si>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</si>
  <si>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</si>
  <si>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</si>
  <si>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</si>
  <si>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</si>
  <si>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</si>
  <si>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</si>
  <si>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</si>
  <si>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</si>
  <si>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</si>
  <si>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</si>
  <si>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</si>
  <si>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</si>
  <si>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</si>
  <si>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</si>
  <si>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</si>
  <si>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</si>
  <si>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</si>
  <si>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</si>
  <si>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</si>
  <si>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</si>
  <si>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</si>
  <si>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</si>
  <si>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</si>
  <si>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</si>
  <si>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</si>
  <si>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</si>
  <si>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</si>
  <si>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</si>
  <si>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</si>
  <si>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</si>
  <si>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</si>
  <si>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</si>
  <si>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</si>
  <si>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</si>
  <si>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</si>
  <si>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</si>
  <si>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</si>
  <si>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</si>
  <si>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</si>
  <si>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</si>
  <si>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</si>
  <si>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</si>
  <si>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</si>
  <si>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</si>
  <si>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</si>
  <si>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</si>
  <si>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</si>
  <si>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</si>
  <si>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</si>
  <si>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</si>
  <si>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</si>
  <si>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</si>
  <si>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</si>
  <si>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</si>
  <si>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</si>
  <si>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</si>
  <si>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</si>
  <si>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</si>
  <si>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</si>
  <si>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</si>
  <si>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</si>
  <si>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</si>
  <si>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</si>
  <si>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</si>
  <si>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</si>
  <si>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</si>
  <si>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</si>
  <si>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</si>
  <si>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</si>
  <si>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</si>
  <si>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</si>
  <si>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</si>
  <si>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</si>
  <si>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</si>
  <si>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</si>
  <si>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</si>
  <si>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</si>
  <si>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</si>
  <si>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</si>
  <si>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</si>
  <si>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</si>
  <si>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</si>
  <si>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</si>
  <si>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</si>
  <si>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</si>
  <si>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</si>
  <si>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</si>
  <si>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</si>
  <si>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</si>
  <si>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</si>
  <si>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</si>
  <si>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</si>
  <si>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</si>
  <si>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</si>
  <si>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</si>
  <si>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</si>
  <si>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</si>
  <si>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</si>
  <si>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</si>
  <si>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</si>
  <si>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</si>
  <si>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</si>
  <si>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</si>
  <si>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</si>
  <si>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</si>
  <si>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</si>
  <si>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</si>
  <si>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</si>
  <si>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</si>
  <si>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</si>
  <si>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</si>
  <si>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</si>
  <si>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</si>
  <si>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</si>
  <si>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</si>
  <si>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</si>
  <si>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</si>
  <si>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</si>
  <si>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</si>
  <si>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</si>
  <si>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</si>
  <si>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</si>
  <si>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</si>
  <si>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</si>
  <si>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</si>
  <si>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</si>
  <si>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</si>
  <si>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</si>
  <si>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</si>
  <si>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</si>
  <si>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</si>
  <si>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</si>
  <si>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</si>
  <si>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</si>
  <si>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</si>
  <si>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</si>
  <si>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</si>
  <si>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</si>
  <si>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</si>
  <si>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</si>
  <si>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</si>
  <si>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</si>
  <si>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</si>
  <si>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</si>
  <si>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</si>
  <si>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</si>
  <si>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</si>
  <si>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</si>
  <si>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</si>
  <si>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</si>
  <si>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</si>
  <si>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</si>
  <si>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</si>
  <si>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</si>
  <si>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</si>
  <si>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</si>
  <si>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</si>
  <si>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</si>
  <si>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</si>
  <si>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</si>
  <si>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</si>
  <si>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</si>
  <si>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</si>
  <si>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</si>
  <si>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</si>
  <si>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</si>
  <si>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</si>
  <si>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</si>
  <si>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</si>
  <si>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</si>
  <si>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</si>
  <si>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</si>
  <si>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</si>
  <si>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</si>
  <si>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</si>
  <si>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</si>
  <si>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</si>
  <si>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</si>
  <si>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</si>
  <si>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</si>
  <si>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</si>
  <si>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</si>
  <si>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</si>
  <si>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</si>
  <si>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</si>
  <si>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</si>
  <si>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</si>
  <si>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</si>
  <si>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</si>
  <si>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</si>
  <si>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</si>
  <si>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</si>
  <si>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</si>
  <si>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</si>
  <si>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</si>
  <si>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</si>
  <si>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</si>
  <si>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</si>
  <si>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</si>
  <si>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</si>
  <si>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</si>
  <si>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</si>
  <si>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</si>
  <si>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</si>
  <si>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</si>
  <si>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</si>
  <si>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</si>
  <si>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</si>
  <si>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</si>
  <si>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</si>
  <si>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</si>
  <si>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</si>
  <si>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</si>
  <si>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</si>
  <si>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</si>
  <si>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</si>
  <si>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</si>
  <si>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</si>
  <si>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</si>
  <si>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</si>
  <si>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</si>
  <si>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</si>
  <si>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</si>
  <si>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</si>
  <si>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</si>
  <si>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</si>
  <si>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</si>
  <si>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</si>
  <si>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</si>
  <si>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</si>
  <si>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</si>
  <si>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</si>
  <si>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</si>
  <si>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</si>
  <si>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</si>
  <si>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</si>
  <si>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</si>
  <si>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</si>
  <si>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</si>
  <si>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</si>
  <si>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</si>
  <si>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</si>
  <si>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</si>
  <si>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</si>
  <si>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</si>
  <si>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</si>
  <si>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</si>
  <si>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</si>
  <si>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</si>
  <si>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</si>
  <si>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</si>
  <si>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</si>
  <si>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</si>
  <si>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</si>
  <si>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</si>
  <si>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</si>
  <si>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</si>
  <si>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</si>
  <si>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</si>
  <si>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</si>
  <si>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</si>
  <si>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</si>
  <si>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</si>
  <si>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</si>
  <si>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</si>
  <si>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</si>
  <si>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</si>
  <si>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</si>
  <si>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</si>
  <si>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</si>
  <si>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</si>
  <si>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</si>
  <si>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</si>
  <si>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</si>
  <si>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</si>
  <si>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</si>
  <si>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</si>
  <si>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</si>
  <si>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</si>
  <si>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</si>
  <si>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</si>
  <si>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</si>
  <si>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</si>
  <si>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</si>
  <si>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</si>
  <si>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</si>
  <si>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</si>
  <si>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</si>
  <si>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</si>
  <si>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</si>
  <si>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</si>
  <si>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</si>
  <si>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</si>
  <si>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</si>
  <si>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</si>
  <si>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</si>
  <si>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</si>
  <si>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</si>
  <si>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</si>
  <si>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</si>
  <si>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</si>
  <si>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</si>
  <si>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</si>
  <si>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</si>
  <si>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</si>
  <si>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</si>
  <si>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</si>
  <si>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</si>
  <si>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</si>
  <si>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</si>
  <si>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</si>
  <si>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</si>
  <si>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</si>
  <si>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</si>
  <si>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</si>
  <si>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</si>
  <si>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</si>
  <si>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</si>
  <si>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</si>
  <si>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</si>
  <si>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</si>
  <si>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</si>
  <si>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</si>
  <si>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</si>
  <si>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</si>
  <si>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</si>
  <si>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</si>
  <si>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</si>
  <si>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</si>
  <si>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</si>
  <si>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</si>
  <si>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</si>
  <si>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</si>
  <si>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</si>
  <si>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</si>
  <si>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</si>
  <si>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</si>
  <si>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</si>
  <si>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</si>
  <si>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</si>
  <si>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</si>
  <si>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</si>
  <si>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</si>
  <si>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</si>
  <si>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</si>
  <si>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</si>
  <si>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</si>
  <si>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</si>
  <si>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</si>
  <si>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</si>
  <si>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</si>
  <si>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</si>
  <si>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</si>
  <si>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</si>
  <si>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</si>
  <si>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</si>
  <si>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</si>
  <si>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</si>
  <si>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</si>
  <si>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</si>
  <si>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</si>
  <si>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</si>
  <si>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</si>
  <si>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</si>
  <si>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</si>
  <si>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</si>
  <si>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</si>
  <si>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</si>
  <si>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</si>
  <si>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</si>
  <si>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</si>
  <si>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</si>
  <si>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</si>
  <si>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</si>
  <si>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</si>
  <si>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</si>
  <si>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</si>
  <si>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</si>
  <si>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</si>
  <si>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</si>
  <si>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</si>
  <si>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</si>
  <si>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</si>
  <si>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</si>
  <si>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</si>
  <si>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</si>
  <si>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</si>
  <si>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</si>
  <si>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</si>
  <si>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</si>
  <si>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</si>
  <si>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</si>
  <si>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</si>
  <si>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</si>
  <si>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</si>
  <si>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</si>
  <si>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</si>
  <si>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</si>
  <si>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</si>
  <si>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</si>
  <si>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</si>
  <si>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</si>
  <si>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</si>
  <si>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</si>
  <si>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</si>
  <si>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</si>
  <si>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</si>
  <si>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</si>
  <si>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</si>
  <si>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</si>
  <si>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</si>
  <si>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</si>
  <si>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</si>
  <si>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</si>
  <si>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</si>
  <si>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</si>
  <si>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</si>
  <si>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</si>
  <si>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</si>
  <si>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</si>
  <si>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</si>
  <si>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</si>
  <si>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</si>
  <si>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</si>
  <si>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</si>
  <si>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</si>
  <si>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</si>
  <si>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</si>
  <si>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</si>
  <si>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</si>
  <si>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</si>
  <si>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</si>
  <si>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</si>
  <si>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</si>
  <si>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</si>
  <si>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</si>
  <si>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</si>
  <si>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</si>
  <si>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</si>
  <si>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</si>
  <si>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</si>
  <si>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</si>
  <si>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</si>
  <si>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</si>
  <si>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</si>
  <si>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</si>
  <si>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</si>
  <si>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</si>
  <si>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</si>
  <si>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</si>
  <si>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</si>
  <si>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</si>
  <si>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</si>
  <si>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</si>
  <si>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</si>
  <si>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</si>
  <si>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</si>
  <si>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</si>
  <si>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</si>
  <si>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</si>
  <si>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</si>
  <si>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</si>
  <si>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</si>
  <si>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</si>
  <si>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</si>
  <si>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</si>
  <si>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</si>
  <si>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</si>
  <si>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</si>
  <si>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</si>
  <si>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</si>
  <si>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</si>
  <si>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</si>
  <si>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</si>
  <si>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</si>
  <si>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</si>
  <si>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</si>
  <si>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</si>
  <si>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</si>
  <si>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</si>
  <si>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</si>
  <si>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</si>
  <si>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</si>
  <si>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</si>
  <si>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</si>
  <si>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</si>
  <si>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</si>
  <si>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</si>
  <si>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</si>
  <si>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</si>
  <si>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</si>
  <si>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</si>
  <si>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</si>
  <si>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</si>
  <si>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</si>
  <si>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</si>
  <si>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</si>
  <si>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</si>
  <si>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</si>
  <si>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</si>
  <si>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</si>
  <si>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</si>
  <si>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</si>
  <si>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</si>
  <si>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</si>
  <si>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</si>
  <si>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</si>
  <si>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</si>
  <si>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</si>
  <si>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</si>
  <si>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</si>
  <si>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</si>
  <si>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</si>
  <si>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</si>
  <si>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</si>
  <si>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</si>
  <si>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</si>
  <si>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</si>
  <si>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</si>
  <si>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</si>
  <si>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</si>
  <si>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</si>
  <si>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</si>
  <si>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</si>
  <si>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</si>
  <si>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</si>
  <si>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</si>
  <si>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</si>
  <si>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</si>
  <si>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</si>
  <si>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</si>
  <si>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</si>
  <si>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</si>
  <si>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</si>
  <si>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</si>
  <si>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</si>
  <si>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</si>
  <si>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</si>
  <si>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</si>
  <si>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</si>
  <si>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</si>
  <si>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</si>
  <si>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</si>
  <si>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</si>
  <si>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</si>
  <si>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</si>
  <si>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</si>
  <si>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</si>
  <si>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</si>
  <si>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</si>
  <si>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</si>
  <si>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</si>
  <si>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</si>
  <si>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</si>
  <si>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</si>
  <si>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</si>
  <si>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</si>
  <si>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</si>
  <si>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</si>
  <si>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</si>
  <si>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</si>
  <si>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</si>
  <si>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</si>
  <si>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</si>
  <si>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</si>
  <si>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</si>
  <si>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</si>
  <si>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</si>
  <si>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</si>
  <si>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</si>
  <si>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</si>
  <si>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</si>
  <si>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</si>
  <si>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</si>
  <si>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</si>
  <si>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</si>
  <si>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</si>
  <si>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</si>
  <si>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</si>
  <si>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</si>
  <si>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</si>
  <si>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</si>
  <si>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</si>
  <si>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</si>
  <si>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</si>
  <si>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</si>
  <si>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</si>
  <si>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</si>
  <si>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</si>
  <si>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</si>
  <si>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</si>
  <si>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</si>
  <si>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</si>
  <si>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</si>
  <si>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</si>
  <si>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</si>
  <si>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</si>
  <si>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</si>
  <si>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</si>
  <si>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</si>
  <si>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</si>
  <si>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</si>
  <si>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</si>
  <si>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</si>
  <si>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</si>
  <si>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</si>
  <si>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</si>
  <si>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</si>
  <si>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</si>
  <si>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</si>
  <si>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</si>
  <si>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</si>
  <si>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</si>
  <si>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</si>
  <si>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</si>
  <si>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</si>
  <si>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</si>
  <si>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</si>
  <si>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</si>
  <si>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</si>
  <si>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</si>
  <si>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</si>
  <si>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</si>
  <si>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</si>
  <si>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</si>
  <si>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</si>
  <si>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</si>
  <si>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</si>
  <si>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</si>
  <si>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</si>
  <si>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</si>
  <si>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</si>
  <si>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</si>
  <si>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</si>
  <si>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</si>
  <si>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</si>
  <si>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</si>
  <si>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</si>
  <si>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</si>
  <si>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</si>
  <si>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</si>
  <si>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</si>
  <si>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</si>
  <si>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</si>
  <si>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</si>
  <si>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</si>
  <si>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</si>
  <si>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</si>
  <si>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</si>
  <si>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</si>
  <si>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</si>
  <si>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</si>
  <si>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</si>
  <si>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</si>
  <si>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</si>
  <si>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</si>
  <si>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</si>
  <si>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</si>
  <si>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</si>
  <si>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</si>
  <si>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</si>
  <si>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</si>
  <si>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</si>
  <si>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</si>
  <si>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</si>
  <si>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</si>
  <si>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</si>
  <si>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</si>
  <si>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</si>
  <si>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</si>
  <si>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</si>
  <si>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</si>
  <si>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</si>
  <si>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</si>
  <si>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</si>
  <si>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</si>
  <si>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</si>
  <si>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</si>
  <si>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</si>
  <si>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</si>
  <si>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</si>
  <si>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</si>
  <si>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</si>
  <si>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</si>
  <si>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</si>
  <si>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</si>
  <si>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</si>
  <si>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</si>
  <si>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</si>
  <si>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</si>
  <si>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</si>
  <si>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</si>
  <si>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</si>
  <si>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</si>
  <si>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</si>
  <si>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</si>
  <si>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</si>
  <si>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</si>
  <si>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</si>
  <si>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</si>
  <si>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</si>
  <si>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</si>
  <si>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</si>
  <si>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</si>
  <si>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</si>
  <si>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</si>
  <si>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</si>
  <si>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</si>
  <si>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</si>
  <si>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</si>
  <si>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</si>
  <si>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</si>
  <si>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</si>
  <si>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</si>
  <si>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</si>
  <si>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</si>
  <si>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</si>
  <si>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</si>
  <si>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</si>
  <si>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</si>
  <si>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</si>
  <si>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</si>
  <si>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</si>
  <si>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</si>
  <si>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</si>
  <si>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</si>
  <si>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</si>
  <si>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</si>
  <si>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</si>
  <si>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</si>
  <si>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</si>
  <si>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</si>
  <si>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</si>
  <si>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</si>
  <si>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</si>
  <si>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</si>
  <si>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</si>
  <si>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</si>
  <si>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</si>
  <si>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</si>
  <si>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</si>
  <si>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</si>
  <si>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</si>
  <si>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</si>
  <si>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</si>
  <si>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</si>
  <si>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</si>
  <si>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</si>
  <si>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</si>
  <si>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</si>
  <si>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</si>
  <si>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</si>
  <si>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</si>
  <si>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</si>
  <si>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</si>
  <si>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</si>
  <si>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</si>
  <si>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</si>
  <si>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</si>
  <si>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</si>
  <si>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</si>
  <si>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</si>
  <si>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</si>
  <si>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</si>
  <si>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</si>
  <si>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</si>
  <si>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</si>
  <si>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</si>
  <si>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</si>
  <si>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</si>
  <si>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</si>
  <si>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</si>
  <si>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</si>
  <si>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</si>
  <si>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</si>
  <si>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</si>
  <si>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</si>
  <si>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</si>
  <si>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</si>
  <si>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</si>
  <si>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</si>
  <si>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</si>
  <si>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</si>
  <si>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</si>
  <si>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</si>
  <si>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</si>
  <si>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</si>
  <si>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</si>
  <si>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</si>
  <si>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</si>
  <si>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</si>
  <si>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</si>
  <si>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</si>
  <si>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</si>
  <si>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</si>
  <si>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</si>
  <si>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</si>
  <si>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</si>
  <si>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</si>
  <si>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</si>
  <si>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</si>
  <si>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</si>
  <si>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</si>
  <si>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</si>
  <si>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</si>
  <si>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</si>
  <si>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</si>
  <si>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</si>
  <si>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</si>
  <si>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</si>
  <si>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</si>
  <si>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</si>
  <si>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</si>
  <si>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</si>
  <si>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</si>
  <si>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</si>
  <si>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</si>
  <si>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</si>
  <si>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</si>
  <si>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</si>
  <si>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</si>
  <si>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</si>
  <si>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</si>
  <si>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</si>
  <si>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</si>
  <si>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</si>
  <si>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</si>
  <si>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</si>
  <si>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</si>
  <si>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</si>
  <si>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</si>
  <si>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</si>
  <si>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</si>
  <si>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</si>
  <si>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</si>
  <si>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</si>
  <si>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</si>
  <si>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</si>
  <si>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</si>
  <si>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</si>
  <si>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</si>
  <si>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</si>
  <si>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</si>
  <si>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</si>
  <si>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</si>
  <si>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</si>
  <si>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</si>
  <si>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</si>
  <si>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</si>
  <si>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</si>
  <si>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</si>
  <si>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</si>
  <si>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</si>
  <si>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</si>
  <si>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</si>
  <si>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</si>
  <si>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</si>
  <si>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</si>
  <si>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</si>
  <si>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</si>
  <si>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</si>
  <si>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</si>
  <si>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</si>
  <si>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</si>
  <si>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</si>
  <si>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</si>
  <si>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</si>
  <si>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</si>
  <si>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</si>
  <si>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</si>
  <si>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</si>
  <si>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</si>
  <si>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</si>
  <si>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</si>
  <si>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</si>
  <si>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</si>
  <si>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</si>
  <si>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</si>
  <si>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</si>
  <si>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</si>
  <si>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</si>
  <si>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</si>
  <si>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</si>
  <si>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</si>
  <si>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</si>
  <si>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</si>
  <si>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</si>
  <si>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</si>
  <si>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</si>
  <si>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</si>
  <si>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</si>
  <si>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</si>
  <si>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</si>
  <si>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</si>
  <si>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</si>
  <si>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</si>
  <si>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</si>
  <si>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</si>
  <si>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</si>
  <si>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</si>
  <si>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</si>
  <si>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</si>
  <si>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</si>
  <si>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</si>
  <si>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</si>
  <si>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</si>
  <si>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</si>
  <si>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</si>
  <si>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</si>
  <si>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</si>
  <si>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</si>
  <si>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</si>
  <si>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</si>
  <si>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</si>
  <si>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</si>
  <si>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</si>
  <si>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</si>
  <si>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</si>
  <si>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</si>
  <si>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</si>
  <si>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</si>
  <si>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</si>
  <si>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</si>
  <si>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</si>
  <si>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</si>
  <si>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</si>
  <si>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</si>
  <si>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</si>
  <si>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</si>
  <si>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</si>
  <si>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</si>
  <si>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</si>
  <si>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</si>
  <si>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</si>
  <si>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</si>
  <si>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</si>
  <si>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</si>
  <si>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</si>
  <si>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</si>
  <si>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</si>
  <si>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</si>
  <si>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</si>
  <si>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</si>
  <si>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</si>
  <si>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</si>
  <si>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</si>
  <si>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</si>
  <si>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</si>
  <si>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</si>
  <si>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</si>
  <si>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</si>
  <si>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</si>
  <si>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</si>
  <si>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</si>
  <si>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</si>
  <si>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</si>
  <si>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</si>
  <si>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</si>
  <si>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</si>
  <si>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</si>
  <si>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</si>
  <si>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</si>
  <si>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</si>
  <si>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</si>
  <si>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</si>
  <si>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</si>
  <si>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</si>
  <si>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</si>
  <si>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</si>
  <si>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</si>
  <si>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</si>
  <si>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</si>
  <si>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</si>
  <si>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</si>
  <si>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</si>
  <si>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</si>
  <si>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</si>
  <si>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</si>
  <si>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</si>
  <si>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</si>
  <si>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</si>
  <si>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</si>
  <si>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</si>
  <si>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</si>
  <si>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</si>
  <si>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</si>
  <si>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</si>
  <si>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</si>
  <si>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</si>
  <si>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</si>
  <si>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</si>
  <si>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</si>
  <si>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</si>
  <si>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</si>
  <si>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</si>
  <si>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</si>
  <si>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</si>
  <si>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</si>
  <si>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</si>
  <si>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</si>
  <si>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</si>
  <si>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</si>
  <si>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</si>
  <si>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</si>
  <si>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</si>
  <si>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</si>
  <si>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</si>
  <si>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</si>
  <si>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</si>
  <si>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</si>
  <si>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</si>
  <si>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</si>
  <si>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</si>
  <si>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</si>
  <si>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</si>
  <si>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</si>
  <si>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</si>
  <si>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</si>
  <si>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</si>
  <si>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</si>
  <si>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</si>
  <si>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</si>
  <si>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</si>
  <si>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</si>
  <si>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</si>
  <si>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</si>
  <si>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</si>
  <si>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</si>
  <si>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</si>
  <si>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</si>
  <si>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</si>
  <si>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</si>
  <si>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</si>
  <si>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</si>
  <si>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</si>
  <si>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</si>
  <si>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</si>
  <si>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</si>
  <si>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</si>
  <si>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</si>
  <si>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</si>
  <si>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</si>
  <si>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</si>
  <si>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</si>
  <si>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</si>
  <si>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</si>
  <si>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</si>
  <si>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</si>
  <si>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</si>
  <si>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</si>
  <si>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</si>
  <si>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</si>
  <si>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</si>
  <si>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</si>
  <si>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</si>
  <si>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</si>
  <si>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</si>
  <si>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</si>
  <si>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</si>
  <si>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</si>
  <si>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</si>
  <si>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</si>
  <si>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</si>
  <si>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</si>
  <si>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</si>
  <si>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</si>
  <si>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</si>
  <si>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</si>
  <si>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</si>
  <si>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</si>
  <si>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</si>
  <si>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</si>
  <si>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</si>
  <si>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</si>
  <si>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</si>
  <si>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</si>
  <si>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</si>
  <si>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</si>
  <si>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</si>
  <si>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</si>
  <si>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</si>
  <si>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</si>
  <si>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</si>
  <si>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</si>
  <si>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</si>
  <si>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</si>
  <si>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</si>
  <si>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</si>
  <si>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</si>
  <si>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</si>
  <si>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</si>
  <si>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</si>
  <si>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</si>
  <si>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</si>
  <si>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</si>
  <si>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</si>
  <si>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</si>
  <si>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</si>
  <si>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</si>
  <si>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</si>
  <si>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</si>
  <si>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</si>
  <si>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</si>
  <si>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</si>
  <si>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</si>
  <si>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</si>
  <si>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</si>
  <si>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</si>
  <si>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</si>
  <si>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</si>
  <si>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</si>
  <si>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</si>
  <si>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</si>
  <si>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</si>
  <si>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</si>
  <si>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</si>
  <si>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</si>
  <si>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</si>
  <si>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</si>
  <si>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</si>
  <si>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</si>
  <si>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</si>
  <si>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</si>
  <si>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</si>
  <si>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</si>
  <si>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</si>
  <si>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</si>
  <si>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</si>
  <si>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</si>
  <si>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</si>
  <si>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</si>
  <si>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</si>
  <si>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</si>
  <si>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</si>
  <si>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</si>
  <si>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</si>
  <si>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</si>
  <si>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</si>
  <si>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</si>
  <si>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</si>
  <si>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</si>
  <si>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</si>
  <si>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</si>
  <si>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</si>
  <si>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</si>
  <si>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</si>
  <si>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</si>
  <si>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</si>
  <si>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</si>
  <si>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</si>
  <si>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</si>
  <si>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</si>
  <si>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</si>
  <si>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</si>
  <si>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</si>
  <si>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</si>
  <si>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</si>
  <si>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</si>
  <si>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</si>
  <si>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</si>
  <si>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</si>
  <si>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</si>
  <si>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</si>
  <si>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</si>
  <si>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</si>
  <si>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</si>
  <si>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</si>
  <si>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</si>
  <si>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</si>
  <si>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</si>
  <si>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</si>
  <si>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</si>
  <si>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</si>
  <si>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</si>
  <si>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</si>
  <si>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</si>
  <si>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</si>
  <si>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</si>
  <si>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</si>
  <si>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</si>
  <si>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</si>
  <si>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</si>
  <si>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</si>
  <si>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</si>
  <si>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</si>
  <si>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</si>
  <si>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</si>
  <si>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</si>
  <si>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</si>
  <si>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</si>
  <si>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</si>
  <si>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</si>
  <si>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</si>
  <si>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</si>
  <si>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</si>
  <si>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</si>
  <si>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</si>
  <si>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</si>
  <si>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</si>
  <si>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</si>
  <si>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</si>
  <si>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</si>
  <si>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</si>
  <si>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</si>
  <si>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</si>
  <si>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</si>
  <si>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</si>
  <si>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</si>
  <si>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</si>
  <si>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</si>
  <si>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</si>
  <si>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</si>
  <si>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</si>
  <si>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</si>
  <si>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</si>
  <si>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</si>
  <si>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</si>
  <si>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</si>
  <si>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</si>
  <si>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</si>
  <si>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</si>
  <si>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</si>
  <si>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</si>
  <si>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</si>
  <si>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</si>
  <si>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</si>
  <si>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</si>
  <si>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</si>
  <si>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</si>
  <si>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</si>
  <si>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</si>
  <si>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</si>
  <si>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</si>
  <si>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</si>
  <si>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</si>
  <si>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</si>
  <si>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</si>
  <si>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</si>
  <si>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</si>
  <si>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</si>
  <si>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</si>
  <si>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</si>
  <si>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</si>
  <si>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</si>
  <si>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</si>
  <si>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</si>
  <si>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</si>
  <si>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</si>
  <si>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</si>
  <si>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</si>
  <si>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</si>
  <si>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</si>
  <si>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</si>
  <si>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</si>
  <si>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</si>
  <si>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</si>
  <si>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</si>
  <si>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</si>
  <si>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</si>
  <si>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</si>
  <si>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</si>
  <si>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</si>
  <si>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</si>
  <si>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</si>
  <si>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</si>
  <si>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</si>
  <si>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</si>
  <si>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</si>
  <si>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</si>
  <si>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</si>
  <si>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</si>
  <si>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</si>
  <si>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</si>
  <si>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</si>
  <si>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</si>
  <si>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</si>
  <si>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</si>
  <si>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</si>
  <si>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</si>
  <si>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</si>
  <si>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</si>
  <si>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</si>
  <si>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</si>
  <si>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</si>
  <si>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</si>
  <si>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</si>
  <si>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</si>
  <si>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</si>
  <si>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</si>
  <si>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</si>
  <si>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</si>
  <si>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</si>
  <si>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</si>
  <si>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</si>
  <si>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</si>
  <si>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</si>
  <si>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</si>
  <si>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</si>
  <si>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</si>
  <si>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</si>
  <si>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</si>
  <si>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</si>
  <si>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</si>
  <si>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</si>
  <si>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</si>
  <si>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</si>
  <si>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</si>
  <si>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</si>
  <si>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</si>
  <si>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</si>
  <si>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</si>
  <si>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</si>
  <si>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</si>
  <si>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</si>
  <si>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</si>
  <si>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</si>
  <si>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</si>
  <si>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</si>
  <si>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</si>
  <si>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</si>
  <si>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</si>
  <si>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</si>
  <si>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</si>
  <si>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</si>
  <si>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</si>
  <si>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</si>
  <si>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</si>
  <si>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</si>
  <si>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</si>
  <si>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</si>
  <si>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</si>
  <si>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</si>
  <si>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</si>
  <si>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</si>
  <si>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</si>
  <si>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</si>
  <si>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</si>
  <si>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</si>
  <si>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</si>
  <si>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</si>
  <si>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</si>
  <si>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</si>
  <si>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</si>
  <si>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</si>
  <si>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</si>
  <si>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</si>
  <si>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</si>
  <si>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</si>
  <si>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</si>
  <si>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</si>
  <si>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</si>
  <si>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</si>
  <si>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</si>
  <si>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</si>
  <si>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</si>
  <si>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</si>
  <si>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</si>
  <si>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</si>
  <si>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</si>
  <si>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</si>
  <si>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</si>
  <si>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</si>
  <si>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</si>
  <si>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</si>
  <si>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</si>
  <si>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</si>
  <si>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</si>
  <si>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</si>
  <si>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</si>
  <si>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</si>
  <si>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</si>
  <si>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</si>
  <si>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</si>
  <si>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</si>
  <si>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</si>
  <si>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</si>
  <si>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</si>
  <si>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</si>
  <si>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</si>
  <si>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</si>
  <si>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</si>
  <si>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</si>
  <si>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</si>
  <si>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</si>
  <si>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</si>
  <si>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</si>
  <si>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</si>
  <si>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</si>
  <si>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</si>
  <si>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</si>
  <si>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</si>
  <si>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</si>
  <si>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</si>
  <si>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</si>
  <si>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</si>
  <si>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</si>
  <si>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</si>
  <si>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</si>
  <si>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</si>
  <si>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</si>
  <si>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</si>
  <si>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</si>
  <si>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</si>
  <si>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</si>
  <si>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</si>
  <si>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</si>
  <si>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</si>
  <si>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</si>
  <si>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</si>
  <si>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</si>
  <si>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</si>
  <si>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</si>
  <si>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</si>
  <si>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</si>
  <si>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</si>
  <si>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</si>
  <si>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</si>
  <si>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</si>
  <si>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</si>
  <si>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</si>
  <si>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</si>
  <si>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</si>
  <si>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</si>
  <si>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</si>
  <si>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</si>
  <si>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</si>
  <si>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</si>
  <si>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</si>
  <si>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</si>
  <si>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</si>
  <si>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</si>
  <si>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</si>
  <si>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</si>
  <si>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</si>
  <si>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</si>
  <si>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</si>
  <si>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</si>
  <si>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</si>
  <si>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</si>
  <si>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</si>
  <si>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</si>
  <si>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</si>
  <si>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</si>
  <si>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</si>
  <si>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</si>
  <si>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</si>
  <si>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</si>
  <si>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</si>
  <si>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</si>
  <si>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</si>
  <si>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</si>
  <si>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</si>
  <si>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</si>
  <si>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</si>
  <si>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</si>
  <si>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</si>
  <si>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</si>
  <si>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</si>
  <si>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</si>
  <si>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</si>
  <si>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</si>
  <si>
    <t>https://youtu.be/0mnRmUqqE4U?si=R794HzgDDlOf8tFq&amp;t=3745</t>
    <phoneticPr fontId="2" type="noConversion"/>
  </si>
  <si>
    <t>https://youtu.be/0mnRmUqqE4U?si=l8j3xrtXm37OqZvN&amp;t=4725</t>
  </si>
  <si>
    <t>https://youtu.be/0mnRmUqqE4U?si=cjOFngoXli_4e6eJ&amp;t=6579</t>
  </si>
  <si>
    <t>https://youtu.be/0mnRmUqqE4U?si=u-BZNur9r7-vY8iq&amp;t=6090</t>
  </si>
  <si>
    <t>https://youtu.be/0mnRmUqqE4U?si=RmAYXkoiPqGD4lUB&amp;t=7272</t>
  </si>
  <si>
    <t>https://youtu.be/0mnRmUqqE4U?si=CFsoENVojhEnYug4&amp;t=8389</t>
  </si>
  <si>
    <t>https://youtu.be/0mnRmUqqE4U?si=UbaI4st2fA4eyham&amp;t=9682</t>
  </si>
  <si>
    <t>https://youtu.be/0mnRmUqqE4U?si=m9ghI-ea0v563qo-&amp;t=10915</t>
  </si>
  <si>
    <t>https://youtu.be/0mnRmUqqE4U?si=I9S89eNnPD0gC4wr&amp;t=11803</t>
  </si>
  <si>
    <t>2026.06.09</t>
    <phoneticPr fontId="2" type="noConversion"/>
  </si>
  <si>
    <t>2026.06.10</t>
    <phoneticPr fontId="2" type="noConversion"/>
  </si>
  <si>
    <t>헤요이</t>
    <phoneticPr fontId="2" type="noConversion"/>
  </si>
  <si>
    <t>2라니</t>
    <phoneticPr fontId="2" type="noConversion"/>
  </si>
  <si>
    <t>주서리</t>
    <phoneticPr fontId="2" type="noConversion"/>
  </si>
  <si>
    <t>치리</t>
    <phoneticPr fontId="2" type="noConversion"/>
  </si>
  <si>
    <t>먼진</t>
    <phoneticPr fontId="2" type="noConversion"/>
  </si>
  <si>
    <t>아링</t>
    <phoneticPr fontId="2" type="noConversion"/>
  </si>
  <si>
    <t>깨림이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</si>
</sst>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30" zoomScale="85" zoomScaleNormal="85" workbookViewId="0">
      <selection activeCell="P1048" sqref="P1048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1520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  <c r="O1038" t="s">
        <v>1511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  <c r="O1039" t="s">
        <v>1512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  <c r="O1040" t="s">
        <v>1514</v>
      </c>
    </row>
    <row r="1041" spans="1:15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  <c r="O1041" t="s">
        <v>1513</v>
      </c>
    </row>
    <row r="1042" spans="1:15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  <c r="O1042" t="s">
        <v>1515</v>
      </c>
    </row>
    <row r="1043" spans="1:15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  <c r="O1043" t="s">
        <v>1516</v>
      </c>
    </row>
    <row r="1044" spans="1:15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  <c r="O1044" t="s">
        <v>1517</v>
      </c>
    </row>
    <row r="1045" spans="1:15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  <c r="O1045" t="s">
        <v>1518</v>
      </c>
    </row>
    <row r="1046" spans="1:15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  <c r="O1046" t="s">
        <v>1519</v>
      </c>
    </row>
    <row r="1047" spans="1:15" x14ac:dyDescent="0.6">
      <c r="A1047" t="s">
        <v>1521</v>
      </c>
      <c r="B1047" t="s">
        <v>82</v>
      </c>
      <c r="C1047" t="s">
        <v>94</v>
      </c>
      <c r="D1047" t="str">
        <f>IF(E1047&gt;F1047,"승",IF(E1047&lt;F1047,"패"))</f>
        <v>패</v>
      </c>
      <c r="E1047">
        <f>COUNTIF(M1047:M1053,"승")</f>
        <v>3</v>
      </c>
      <c r="F1047">
        <f>COUNTA(M1047:M1053)-E1047</f>
        <v>4</v>
      </c>
      <c r="G1047" s="1">
        <f>E1047/(E1047+F1047)</f>
        <v>0.42857142857142855</v>
      </c>
      <c r="H1047" s="1" t="s">
        <v>119</v>
      </c>
      <c r="I1047" s="2">
        <v>1</v>
      </c>
      <c r="J1047" t="s">
        <v>1455</v>
      </c>
      <c r="K1047" t="s">
        <v>19</v>
      </c>
      <c r="L1047" t="str">
        <f t="shared" si="19"/>
        <v>P</v>
      </c>
      <c r="M1047" t="s">
        <v>4</v>
      </c>
      <c r="N1047" t="s">
        <v>1522</v>
      </c>
    </row>
    <row r="1048" spans="1:15" x14ac:dyDescent="0.6">
      <c r="I1048" s="2">
        <v>2</v>
      </c>
      <c r="J1048" s="2">
        <v>2</v>
      </c>
      <c r="K1048" t="s">
        <v>17</v>
      </c>
      <c r="L1048" t="str">
        <f t="shared" si="19"/>
        <v>T</v>
      </c>
      <c r="M1048" t="s">
        <v>4</v>
      </c>
      <c r="N1048" t="s">
        <v>1523</v>
      </c>
    </row>
    <row r="1049" spans="1:15" x14ac:dyDescent="0.6">
      <c r="I1049" s="2">
        <v>3</v>
      </c>
      <c r="J1049" s="2">
        <v>3</v>
      </c>
      <c r="K1049" t="s">
        <v>1525</v>
      </c>
      <c r="L1049" t="str">
        <f t="shared" si="19"/>
        <v>Z</v>
      </c>
      <c r="M1049" t="s">
        <v>4</v>
      </c>
      <c r="N1049" t="s">
        <v>1528</v>
      </c>
    </row>
    <row r="1050" spans="1:15" x14ac:dyDescent="0.6">
      <c r="I1050" s="2">
        <v>4</v>
      </c>
      <c r="J1050" t="s">
        <v>1455</v>
      </c>
      <c r="K1050" t="s">
        <v>1526</v>
      </c>
      <c r="L1050" t="str">
        <f t="shared" si="19"/>
        <v>Z</v>
      </c>
      <c r="M1050" t="s">
        <v>3</v>
      </c>
      <c r="N1050" t="s">
        <v>1527</v>
      </c>
    </row>
    <row r="1051" spans="1:15" x14ac:dyDescent="0.6">
      <c r="I1051" s="2">
        <v>5</v>
      </c>
      <c r="J1051" s="2">
        <v>2</v>
      </c>
      <c r="K1051" t="s">
        <v>16</v>
      </c>
      <c r="L1051" t="str">
        <f t="shared" si="19"/>
        <v>T</v>
      </c>
      <c r="M1051" t="s">
        <v>3</v>
      </c>
      <c r="N1051" t="s">
        <v>1524</v>
      </c>
    </row>
    <row r="1052" spans="1:15" x14ac:dyDescent="0.6">
      <c r="I1052" s="2">
        <v>6</v>
      </c>
      <c r="J1052" s="2">
        <v>3</v>
      </c>
      <c r="K1052" t="s">
        <v>66</v>
      </c>
      <c r="L1052" t="str">
        <f t="shared" si="19"/>
        <v>Z</v>
      </c>
      <c r="M1052" t="s">
        <v>3</v>
      </c>
      <c r="N1052" t="s">
        <v>1528</v>
      </c>
    </row>
    <row r="1053" spans="1:15" x14ac:dyDescent="0.6">
      <c r="I1053" s="2">
        <v>7</v>
      </c>
      <c r="J1053" t="s">
        <v>557</v>
      </c>
      <c r="K1053" t="s">
        <v>19</v>
      </c>
      <c r="L1053" t="str">
        <f>IFERROR(INDEX($R$2:$R$99,MATCH(K1053,$Q$2:$Q$99,0)),"")</f>
        <v>P</v>
      </c>
      <c r="M1053" t="s">
        <v>4</v>
      </c>
      <c r="N1053" t="s">
        <v>1522</v>
      </c>
    </row>
    <row r="1055" spans="1:15" x14ac:dyDescent="0.6">
      <c r="L1055" t="str">
        <f t="shared" si="19"/>
        <v/>
      </c>
    </row>
    <row r="1056" spans="1:15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2026-06-10T16:49:01Z</dcterms:modified>
</cp:coreProperties>
</file>