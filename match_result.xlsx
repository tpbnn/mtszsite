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2927983B-3E29-47E1-8BA8-8D460F2916FC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78" i="1" l="1"/>
  <c r="L977" i="1"/>
  <c r="L976" i="1"/>
  <c r="E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64" i="1"/>
  <c r="E957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976" i="1" l="1"/>
  <c r="G976" i="1" s="1"/>
  <c r="G971" i="1"/>
  <c r="F964" i="1"/>
  <c r="G964" i="1" s="1"/>
  <c r="F957" i="1"/>
  <c r="G957" i="1" s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76" i="1" l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<sst xmlns="http://schemas.openxmlformats.org/spreadsheetml/2006/main" count="4468" uniqueCount="1205">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</sst>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681" workbookViewId="0">
      <selection activeCell="O711" sqref="O711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431</v>
      </c>
      <c r="M1" t="s">
        <v>14</v>
      </c>
      <c r="N1" t="s">
        <v>15</v>
      </c>
      <c r="O1" s="5" t="s">
        <v>430</v>
      </c>
      <c r="P1" t="s">
        <v>461</v>
      </c>
      <c r="Q1" t="s">
        <v>459</v>
      </c>
      <c r="R1" t="s">
        <v>460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778</v>
      </c>
      <c r="P2" t="s">
        <v>465</v>
      </c>
      <c r="Q2" t="s">
        <v>8</v>
      </c>
      <c r="R2" t="s">
        <v>432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776</v>
      </c>
      <c r="P3" t="s">
        <v>466</v>
      </c>
      <c r="Q3" t="s">
        <v>10</v>
      </c>
      <c r="R3" t="s">
        <v>433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777</v>
      </c>
      <c r="P4" t="s">
        <v>449</v>
      </c>
      <c r="Q4" t="s">
        <v>16</v>
      </c>
      <c r="R4" t="s">
        <v>434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779</v>
      </c>
      <c r="P5" t="s">
        <v>467</v>
      </c>
      <c r="Q5" t="s">
        <v>17</v>
      </c>
      <c r="R5" t="s">
        <v>434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780</v>
      </c>
      <c r="P6" t="s">
        <v>450</v>
      </c>
      <c r="Q6" t="s">
        <v>18</v>
      </c>
      <c r="R6" t="s">
        <v>433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451</v>
      </c>
      <c r="Q7" t="s">
        <v>24</v>
      </c>
      <c r="R7" t="s">
        <v>434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468</v>
      </c>
      <c r="Q8" t="s">
        <v>35</v>
      </c>
      <c r="R8" t="s">
        <v>433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469</v>
      </c>
      <c r="Q9" t="s">
        <v>25</v>
      </c>
      <c r="R9" t="s">
        <v>434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470</v>
      </c>
      <c r="Q10" t="s">
        <v>26</v>
      </c>
      <c r="R10" t="s">
        <v>434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471</v>
      </c>
      <c r="Q11" t="s">
        <v>36</v>
      </c>
      <c r="R11" t="s">
        <v>433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472</v>
      </c>
      <c r="Q12" t="s">
        <v>37</v>
      </c>
      <c r="R12" t="s">
        <v>433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473</v>
      </c>
      <c r="Q13" t="s">
        <v>38</v>
      </c>
      <c r="R13" t="s">
        <v>433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474</v>
      </c>
      <c r="Q14" t="s">
        <v>39</v>
      </c>
      <c r="R14" t="s">
        <v>433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462</v>
      </c>
      <c r="Q15" t="s">
        <v>49</v>
      </c>
      <c r="R15" t="s">
        <v>432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463</v>
      </c>
      <c r="Q16" t="s">
        <v>19</v>
      </c>
      <c r="R16" t="s">
        <v>432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464</v>
      </c>
      <c r="Q17" t="s">
        <v>50</v>
      </c>
      <c r="R17" t="s">
        <v>432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561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781</v>
      </c>
      <c r="P18" t="s">
        <v>475</v>
      </c>
      <c r="Q18" t="s">
        <v>435</v>
      </c>
      <c r="R18" t="s">
        <v>432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782</v>
      </c>
      <c r="P19" t="s">
        <v>476</v>
      </c>
      <c r="Q19" t="s">
        <v>436</v>
      </c>
      <c r="R19" t="s">
        <v>432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783</v>
      </c>
      <c r="P20" t="s">
        <v>435</v>
      </c>
      <c r="Q20" t="s">
        <v>437</v>
      </c>
      <c r="R20" t="s">
        <v>432</v>
      </c>
    </row>
    <row r="21" spans="1:18" x14ac:dyDescent="0.6">
      <c r="I21" s="2">
        <v>4</v>
      </c>
      <c r="J21" t="s">
        <v>561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784</v>
      </c>
      <c r="P21" t="s">
        <v>477</v>
      </c>
      <c r="Q21" t="s">
        <v>438</v>
      </c>
      <c r="R21" t="s">
        <v>434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785</v>
      </c>
      <c r="P22" t="s">
        <v>437</v>
      </c>
      <c r="Q22" t="s">
        <v>439</v>
      </c>
      <c r="R22" t="s">
        <v>433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786</v>
      </c>
      <c r="P23" t="s">
        <v>441</v>
      </c>
      <c r="Q23" t="s">
        <v>440</v>
      </c>
      <c r="R23" t="s">
        <v>432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787</v>
      </c>
      <c r="P24" t="s">
        <v>440</v>
      </c>
      <c r="Q24" t="s">
        <v>441</v>
      </c>
      <c r="R24" t="s">
        <v>432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442</v>
      </c>
      <c r="Q25" t="s">
        <v>442</v>
      </c>
      <c r="R25" t="s">
        <v>433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444</v>
      </c>
      <c r="Q26" t="s">
        <v>443</v>
      </c>
      <c r="R26" t="s">
        <v>432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446</v>
      </c>
      <c r="Q27" t="s">
        <v>444</v>
      </c>
      <c r="R27" t="s">
        <v>432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448</v>
      </c>
      <c r="Q28" t="s">
        <v>445</v>
      </c>
      <c r="R28" t="s">
        <v>434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447</v>
      </c>
      <c r="Q29" t="s">
        <v>446</v>
      </c>
      <c r="R29" t="s">
        <v>432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445</v>
      </c>
      <c r="Q30" t="s">
        <v>447</v>
      </c>
      <c r="R30" t="s">
        <v>434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436</v>
      </c>
      <c r="Q31" t="s">
        <v>448</v>
      </c>
      <c r="R31" t="s">
        <v>434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455</v>
      </c>
      <c r="Q32" t="s">
        <v>449</v>
      </c>
      <c r="R32" t="s">
        <v>433</v>
      </c>
    </row>
    <row r="33" spans="1:18" x14ac:dyDescent="0.6">
      <c r="I33" s="2">
        <v>9</v>
      </c>
      <c r="J33" t="s">
        <v>564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454</v>
      </c>
      <c r="Q33" t="s">
        <v>450</v>
      </c>
      <c r="R33" t="s">
        <v>432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561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523</v>
      </c>
      <c r="P34" t="s">
        <v>452</v>
      </c>
      <c r="Q34" t="s">
        <v>451</v>
      </c>
      <c r="R34" t="s">
        <v>434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524</v>
      </c>
      <c r="P35" t="s">
        <v>443</v>
      </c>
      <c r="Q35" t="s">
        <v>452</v>
      </c>
      <c r="R35" t="s">
        <v>433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525</v>
      </c>
      <c r="P36" t="s">
        <v>438</v>
      </c>
      <c r="Q36" t="s">
        <v>453</v>
      </c>
      <c r="R36" t="s">
        <v>433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526</v>
      </c>
      <c r="P37" t="s">
        <v>453</v>
      </c>
      <c r="Q37" t="s">
        <v>454</v>
      </c>
      <c r="R37" t="s">
        <v>433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527</v>
      </c>
      <c r="P38" t="s">
        <v>439</v>
      </c>
      <c r="Q38" t="s">
        <v>455</v>
      </c>
      <c r="R38" t="s">
        <v>432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529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530</v>
      </c>
    </row>
    <row r="42" spans="1:18" x14ac:dyDescent="0.6">
      <c r="I42" s="2">
        <v>9</v>
      </c>
      <c r="J42" t="s">
        <v>564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531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429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501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502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502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503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504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505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506</v>
      </c>
    </row>
    <row r="51" spans="1:15" x14ac:dyDescent="0.6">
      <c r="I51" s="2">
        <v>9</v>
      </c>
      <c r="J51" t="s">
        <v>564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507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561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532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533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534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535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536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537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561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538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539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540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541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542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543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544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545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561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561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546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547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548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549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550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551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552</v>
      </c>
    </row>
    <row r="81" spans="1:15" x14ac:dyDescent="0.6">
      <c r="A81" t="s">
        <v>109</v>
      </c>
      <c r="B81" t="s">
        <v>110</v>
      </c>
      <c r="C81" t="s">
        <v>94</v>
      </c>
      <c r="D81" t="s">
        <v>588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561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553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554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555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556</v>
      </c>
    </row>
    <row r="85" spans="1:15" x14ac:dyDescent="0.6">
      <c r="I85" s="2">
        <v>5</v>
      </c>
      <c r="J85" t="s">
        <v>561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557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558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559</v>
      </c>
    </row>
    <row r="88" spans="1:15" x14ac:dyDescent="0.6">
      <c r="I88" s="2">
        <v>8</v>
      </c>
      <c r="J88" t="s">
        <v>564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560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561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565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566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567</v>
      </c>
    </row>
    <row r="92" spans="1:15" x14ac:dyDescent="0.6">
      <c r="I92" s="2">
        <v>4</v>
      </c>
      <c r="J92" t="s">
        <v>561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568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569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570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564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562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563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561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561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595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596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597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598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599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601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600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602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603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604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605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606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607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608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609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561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610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611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612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613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614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615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616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561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617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618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619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620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621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622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623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561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624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625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626</v>
      </c>
    </row>
    <row r="155" spans="1:15" x14ac:dyDescent="0.6">
      <c r="I155" s="2">
        <v>4</v>
      </c>
      <c r="J155" t="s">
        <v>561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627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628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629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561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630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631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632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633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634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635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636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561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637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638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639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640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641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561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642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643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644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645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646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647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561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648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649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650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651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652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653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654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655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561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656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657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658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659</v>
      </c>
    </row>
    <row r="188" spans="1:15" x14ac:dyDescent="0.6">
      <c r="I188" s="2">
        <v>5</v>
      </c>
      <c r="J188" t="s">
        <v>561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660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661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662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663</v>
      </c>
    </row>
    <row r="192" spans="1:15" x14ac:dyDescent="0.6">
      <c r="A192" t="s">
        <v>664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561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665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666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667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668</v>
      </c>
    </row>
    <row r="196" spans="1:15" x14ac:dyDescent="0.6">
      <c r="I196" s="2">
        <v>5</v>
      </c>
      <c r="J196" t="s">
        <v>561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669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670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671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672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673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674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675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561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681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682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683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684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685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561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686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687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688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689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690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691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692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694</v>
      </c>
    </row>
    <row r="216" spans="1:15" x14ac:dyDescent="0.6">
      <c r="I216" s="2">
        <v>9</v>
      </c>
      <c r="J216" t="s">
        <v>564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693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561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695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696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697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698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699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700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701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561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702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703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705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704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706</v>
      </c>
    </row>
    <row r="229" spans="1:15" x14ac:dyDescent="0.6">
      <c r="I229" s="2">
        <v>6</v>
      </c>
      <c r="J229" t="s">
        <v>561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707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708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709</v>
      </c>
    </row>
    <row r="232" spans="1:15" x14ac:dyDescent="0.6">
      <c r="I232" s="2">
        <v>9</v>
      </c>
      <c r="J232" t="s">
        <v>564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710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561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721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722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723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724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725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726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727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561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728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729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730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731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732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733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734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735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561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736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737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738</v>
      </c>
    </row>
    <row r="266" spans="1:15" x14ac:dyDescent="0.6">
      <c r="I266" s="2">
        <v>4</v>
      </c>
      <c r="J266" t="s">
        <v>561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739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740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741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742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743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561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744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745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746</v>
      </c>
    </row>
    <row r="274" spans="1:15" x14ac:dyDescent="0.6">
      <c r="I274" s="2">
        <v>4</v>
      </c>
      <c r="J274" t="s">
        <v>561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747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748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749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750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751</v>
      </c>
    </row>
    <row r="279" spans="1:15" x14ac:dyDescent="0.6">
      <c r="I279" s="2">
        <v>9</v>
      </c>
      <c r="J279" t="s">
        <v>564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752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561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753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754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755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756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561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757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758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759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760</v>
      </c>
    </row>
    <row r="288" spans="1:15" x14ac:dyDescent="0.6">
      <c r="I288" s="2">
        <v>5</v>
      </c>
      <c r="J288" t="s">
        <v>561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761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762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763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764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765</v>
      </c>
    </row>
    <row r="293" spans="1:15" x14ac:dyDescent="0.6">
      <c r="I293" s="2">
        <v>10</v>
      </c>
      <c r="J293" t="s">
        <v>564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766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561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767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768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769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770</v>
      </c>
    </row>
    <row r="298" spans="1:15" x14ac:dyDescent="0.6">
      <c r="I298" s="2">
        <v>5</v>
      </c>
      <c r="J298" t="s">
        <v>561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771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772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773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774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775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561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800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801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803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802</v>
      </c>
    </row>
    <row r="307" spans="1:15" x14ac:dyDescent="0.6">
      <c r="I307" s="2">
        <v>5</v>
      </c>
      <c r="J307" t="s">
        <v>561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804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805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806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807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808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561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809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810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811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812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813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814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561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815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816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817</v>
      </c>
    </row>
    <row r="321" spans="1:15" x14ac:dyDescent="0.6">
      <c r="I321" s="2">
        <v>4</v>
      </c>
      <c r="J321" t="s">
        <v>561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818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819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820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821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822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561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823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824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825</v>
      </c>
    </row>
    <row r="329" spans="1:15" x14ac:dyDescent="0.6">
      <c r="I329" s="2">
        <v>4</v>
      </c>
      <c r="J329" t="s">
        <v>561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826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827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828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829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830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561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831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832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833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834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835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561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836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837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838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839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840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841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842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843</v>
      </c>
    </row>
    <row r="347" spans="1:15" x14ac:dyDescent="0.6">
      <c r="I347" s="2">
        <v>9</v>
      </c>
      <c r="J347" t="s">
        <v>564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844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561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845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846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847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848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849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850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851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561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852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853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854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855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856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857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858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859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561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860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861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862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863</v>
      </c>
    </row>
    <row r="367" spans="1:15" x14ac:dyDescent="0.6">
      <c r="I367" s="2">
        <v>5</v>
      </c>
      <c r="J367" t="s">
        <v>561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864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865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866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867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561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868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869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870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871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872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873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561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874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875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876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877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878</v>
      </c>
    </row>
    <row r="382" spans="1:15" x14ac:dyDescent="0.6">
      <c r="A382" t="s">
        <v>879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561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880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881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882</v>
      </c>
    </row>
    <row r="385" spans="1:15" x14ac:dyDescent="0.6">
      <c r="I385" s="2">
        <v>4</v>
      </c>
      <c r="J385" t="s">
        <v>561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883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884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885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886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887</v>
      </c>
    </row>
    <row r="390" spans="1:15" x14ac:dyDescent="0.6">
      <c r="I390" s="2">
        <v>9</v>
      </c>
      <c r="J390" t="s">
        <v>564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888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561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561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561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561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564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889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561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890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891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892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893</v>
      </c>
    </row>
    <row r="420" spans="1:15" x14ac:dyDescent="0.6">
      <c r="I420" s="2">
        <v>5</v>
      </c>
      <c r="J420" t="s">
        <v>561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894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895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896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897</v>
      </c>
    </row>
    <row r="424" spans="1:15" x14ac:dyDescent="0.6">
      <c r="I424" s="2">
        <v>9</v>
      </c>
      <c r="J424" t="s">
        <v>564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898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561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899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900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901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902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904</v>
      </c>
      <c r="N429" t="s">
        <v>135</v>
      </c>
      <c r="O429" t="s">
        <v>903</v>
      </c>
    </row>
    <row r="430" spans="1:15" x14ac:dyDescent="0.6">
      <c r="A430" t="s">
        <v>905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561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906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907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908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909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910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561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911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912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913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914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915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916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917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561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561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918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919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920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921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922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561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561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923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924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925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926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927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928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929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930</v>
      </c>
    </row>
    <row r="466" spans="1:15" x14ac:dyDescent="0.6">
      <c r="I466" s="2">
        <v>9</v>
      </c>
      <c r="J466" t="s">
        <v>564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931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561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932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933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934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935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936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937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938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561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939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940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941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942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943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944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945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946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561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947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948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949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950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951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953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952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954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561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955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956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957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958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959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960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961</v>
      </c>
    </row>
    <row r="497" spans="1:15" x14ac:dyDescent="0.6">
      <c r="A497" t="s">
        <v>962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561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963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964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965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966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967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968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285</v>
      </c>
      <c r="O503" t="s">
        <v>969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286</v>
      </c>
      <c r="O504" t="s">
        <v>970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287</v>
      </c>
      <c r="O505" t="s">
        <v>971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972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973</v>
      </c>
    </row>
    <row r="508" spans="1:15" x14ac:dyDescent="0.6">
      <c r="A508" t="s">
        <v>288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561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974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975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976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977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978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979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286</v>
      </c>
      <c r="O514" t="s">
        <v>980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286</v>
      </c>
      <c r="O515" t="s">
        <v>981</v>
      </c>
    </row>
    <row r="516" spans="1:15" x14ac:dyDescent="0.6">
      <c r="I516" s="2">
        <v>9</v>
      </c>
      <c r="J516" t="s">
        <v>564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982</v>
      </c>
    </row>
    <row r="517" spans="1:15" x14ac:dyDescent="0.6">
      <c r="I517" s="2">
        <v>10</v>
      </c>
      <c r="J517" t="s">
        <v>562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983</v>
      </c>
    </row>
    <row r="518" spans="1:15" x14ac:dyDescent="0.6">
      <c r="A518" t="s">
        <v>289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561</v>
      </c>
      <c r="K518" t="s">
        <v>133</v>
      </c>
      <c r="L518" t="str">
        <f t="shared" si="8"/>
        <v>P</v>
      </c>
      <c r="M518" t="s">
        <v>3</v>
      </c>
      <c r="N518" t="s">
        <v>290</v>
      </c>
      <c r="O518" t="s">
        <v>984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985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986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290</v>
      </c>
      <c r="O521" t="s">
        <v>987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988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989</v>
      </c>
    </row>
    <row r="524" spans="1:15" x14ac:dyDescent="0.6">
      <c r="A524" t="s">
        <v>291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561</v>
      </c>
      <c r="K524" t="s">
        <v>283</v>
      </c>
      <c r="L524" t="str">
        <f t="shared" si="8"/>
        <v>Z</v>
      </c>
      <c r="M524" t="s">
        <v>4</v>
      </c>
      <c r="N524" t="s">
        <v>287</v>
      </c>
      <c r="O524" t="s">
        <v>990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292</v>
      </c>
      <c r="O525" t="s">
        <v>991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992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993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293</v>
      </c>
      <c r="O528" t="s">
        <v>994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995</v>
      </c>
    </row>
    <row r="530" spans="1:15" x14ac:dyDescent="0.6">
      <c r="A530" t="s">
        <v>294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561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996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997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285</v>
      </c>
      <c r="O532" t="s">
        <v>998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285</v>
      </c>
      <c r="O533" t="s">
        <v>999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1000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1001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1002</v>
      </c>
    </row>
    <row r="537" spans="1:15" x14ac:dyDescent="0.6">
      <c r="A537" t="s">
        <v>294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561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561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564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295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561</v>
      </c>
      <c r="K547" t="s">
        <v>283</v>
      </c>
      <c r="L547" t="str">
        <f t="shared" si="8"/>
        <v>Z</v>
      </c>
      <c r="M547" t="s">
        <v>3</v>
      </c>
      <c r="N547" t="s">
        <v>287</v>
      </c>
      <c r="O547" t="s">
        <v>1003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1004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1005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1006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1007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1008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1009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1010</v>
      </c>
    </row>
    <row r="555" spans="1:15" x14ac:dyDescent="0.6">
      <c r="A555" t="s">
        <v>296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561</v>
      </c>
      <c r="K555" t="s">
        <v>283</v>
      </c>
      <c r="L555" t="str">
        <f t="shared" si="8"/>
        <v>Z</v>
      </c>
      <c r="M555" t="s">
        <v>4</v>
      </c>
      <c r="N555" t="s">
        <v>297</v>
      </c>
      <c r="O555" t="s">
        <v>1011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290</v>
      </c>
      <c r="O556" t="s">
        <v>1012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1013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1014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1015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1016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1017</v>
      </c>
    </row>
    <row r="562" spans="1:15" x14ac:dyDescent="0.6">
      <c r="A562" t="s">
        <v>298</v>
      </c>
      <c r="B562" t="s">
        <v>299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561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1018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393</v>
      </c>
      <c r="O563" t="s">
        <v>1019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1020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1021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1022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1023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1024</v>
      </c>
    </row>
    <row r="569" spans="1:15" x14ac:dyDescent="0.6">
      <c r="A569" t="s">
        <v>300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561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1025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1026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1027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1028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1029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301</v>
      </c>
      <c r="O574" t="s">
        <v>1030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1031</v>
      </c>
    </row>
    <row r="576" spans="1:15" x14ac:dyDescent="0.6">
      <c r="A576" t="s">
        <v>1032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561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1033</v>
      </c>
    </row>
    <row r="577" spans="1:15" x14ac:dyDescent="0.6">
      <c r="I577" s="2">
        <v>2</v>
      </c>
      <c r="J577">
        <v>2</v>
      </c>
      <c r="K577" t="s">
        <v>302</v>
      </c>
      <c r="L577" t="str">
        <f t="shared" si="8"/>
        <v>P</v>
      </c>
      <c r="M577" t="s">
        <v>4</v>
      </c>
      <c r="N577" t="s">
        <v>303</v>
      </c>
      <c r="O577" t="s">
        <v>1034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1035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1036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1037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1038</v>
      </c>
    </row>
    <row r="582" spans="1:15" x14ac:dyDescent="0.6">
      <c r="A582" t="s">
        <v>304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561</v>
      </c>
      <c r="K582" t="s">
        <v>208</v>
      </c>
      <c r="L582" t="str">
        <f t="shared" si="9"/>
        <v>P</v>
      </c>
      <c r="M582" t="s">
        <v>3</v>
      </c>
      <c r="N582" t="s">
        <v>305</v>
      </c>
      <c r="O582" t="s">
        <v>1039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306</v>
      </c>
      <c r="O583" t="s">
        <v>1040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307</v>
      </c>
      <c r="O584" t="s">
        <v>1041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1042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1043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1044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1045</v>
      </c>
    </row>
    <row r="589" spans="1:15" x14ac:dyDescent="0.6">
      <c r="A589" t="s">
        <v>308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561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1046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309</v>
      </c>
      <c r="O590" t="s">
        <v>1047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310</v>
      </c>
      <c r="O591" t="s">
        <v>1048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1049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1050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1051</v>
      </c>
    </row>
    <row r="595" spans="1:15" x14ac:dyDescent="0.6">
      <c r="A595" t="s">
        <v>311</v>
      </c>
      <c r="B595" t="s">
        <v>312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561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1052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313</v>
      </c>
      <c r="O596" t="s">
        <v>1053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1054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1055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1056</v>
      </c>
    </row>
    <row r="600" spans="1:15" x14ac:dyDescent="0.6">
      <c r="A600" t="s">
        <v>314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561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1057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1058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1059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1060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315</v>
      </c>
      <c r="O604" t="s">
        <v>1061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316</v>
      </c>
      <c r="O605" t="s">
        <v>1062</v>
      </c>
    </row>
    <row r="606" spans="1:15" x14ac:dyDescent="0.6">
      <c r="A606" t="s">
        <v>317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561</v>
      </c>
      <c r="K606" t="s">
        <v>283</v>
      </c>
      <c r="L606" t="str">
        <f t="shared" si="9"/>
        <v>Z</v>
      </c>
      <c r="M606" t="s">
        <v>3</v>
      </c>
      <c r="N606" t="s">
        <v>318</v>
      </c>
      <c r="O606" t="s">
        <v>1063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319</v>
      </c>
      <c r="O607" t="s">
        <v>1064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320</v>
      </c>
      <c r="O608" t="s">
        <v>1065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1066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1067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1068</v>
      </c>
    </row>
    <row r="612" spans="1:15" x14ac:dyDescent="0.6">
      <c r="A612" t="s">
        <v>321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561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1069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1070</v>
      </c>
    </row>
    <row r="614" spans="1:15" x14ac:dyDescent="0.6">
      <c r="I614" s="2">
        <v>3</v>
      </c>
      <c r="J614">
        <v>3</v>
      </c>
      <c r="K614" t="s">
        <v>302</v>
      </c>
      <c r="L614" t="str">
        <f t="shared" si="9"/>
        <v>P</v>
      </c>
      <c r="M614" t="s">
        <v>3</v>
      </c>
      <c r="N614" t="s">
        <v>322</v>
      </c>
      <c r="O614" t="s">
        <v>1071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1072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1073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1074</v>
      </c>
    </row>
    <row r="618" spans="1:15" x14ac:dyDescent="0.6">
      <c r="I618" s="2">
        <v>7</v>
      </c>
      <c r="J618" t="s">
        <v>561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1075</v>
      </c>
    </row>
    <row r="619" spans="1:15" x14ac:dyDescent="0.6">
      <c r="I619" s="2">
        <v>8</v>
      </c>
      <c r="J619">
        <v>2</v>
      </c>
      <c r="K619" t="s">
        <v>302</v>
      </c>
      <c r="L619" t="str">
        <f t="shared" si="9"/>
        <v>P</v>
      </c>
      <c r="M619" t="s">
        <v>3</v>
      </c>
      <c r="N619" t="s">
        <v>322</v>
      </c>
      <c r="O619" t="s">
        <v>1076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1077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1078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1079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1080</v>
      </c>
    </row>
    <row r="624" spans="1:15" x14ac:dyDescent="0.6">
      <c r="I624" s="2">
        <v>13</v>
      </c>
      <c r="J624" t="s">
        <v>564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1081</v>
      </c>
    </row>
    <row r="625" spans="1:15" x14ac:dyDescent="0.6">
      <c r="A625" t="s">
        <v>323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561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1082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324</v>
      </c>
      <c r="O626" t="s">
        <v>1083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1084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1085</v>
      </c>
    </row>
    <row r="629" spans="1:15" x14ac:dyDescent="0.6">
      <c r="A629" t="s">
        <v>325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561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1086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1087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1088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1089</v>
      </c>
    </row>
    <row r="633" spans="1:15" x14ac:dyDescent="0.6">
      <c r="A633" t="s">
        <v>326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561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1090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1091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1092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1093</v>
      </c>
    </row>
    <row r="637" spans="1:15" x14ac:dyDescent="0.6">
      <c r="I637" s="2">
        <v>5</v>
      </c>
      <c r="J637" t="s">
        <v>561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1094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1095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1096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1097</v>
      </c>
    </row>
    <row r="641" spans="1:15" x14ac:dyDescent="0.6">
      <c r="I641" s="2">
        <v>9</v>
      </c>
      <c r="J641" t="s">
        <v>564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1098</v>
      </c>
    </row>
    <row r="642" spans="1:15" x14ac:dyDescent="0.6">
      <c r="A642" t="s">
        <v>327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561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1099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1100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1101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1102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1103</v>
      </c>
    </row>
    <row r="647" spans="1:15" x14ac:dyDescent="0.6">
      <c r="I647" s="2">
        <v>6</v>
      </c>
      <c r="J647" t="s">
        <v>561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1104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1105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1106</v>
      </c>
    </row>
    <row r="650" spans="1:15" x14ac:dyDescent="0.6">
      <c r="I650" s="2">
        <v>9</v>
      </c>
      <c r="J650" t="s">
        <v>564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1107</v>
      </c>
    </row>
    <row r="651" spans="1:15" x14ac:dyDescent="0.6">
      <c r="A651" t="s">
        <v>328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561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1108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1109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329</v>
      </c>
      <c r="O653" t="s">
        <v>1110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1111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1112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1113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1114</v>
      </c>
    </row>
    <row r="658" spans="1:15" x14ac:dyDescent="0.6">
      <c r="A658" t="s">
        <v>330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561</v>
      </c>
      <c r="K658" t="s">
        <v>283</v>
      </c>
      <c r="L658" t="str">
        <f t="shared" si="10"/>
        <v>Z</v>
      </c>
      <c r="M658" t="s">
        <v>3</v>
      </c>
      <c r="N658" t="s">
        <v>310</v>
      </c>
      <c r="O658" t="s">
        <v>1139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1140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1141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1142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1143</v>
      </c>
    </row>
    <row r="663" spans="1:15" x14ac:dyDescent="0.6">
      <c r="I663" s="2">
        <v>6</v>
      </c>
      <c r="J663" t="s">
        <v>561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1144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310</v>
      </c>
      <c r="O664" t="s">
        <v>1145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1146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1147</v>
      </c>
    </row>
    <row r="667" spans="1:15" x14ac:dyDescent="0.6">
      <c r="I667" s="2">
        <v>10</v>
      </c>
      <c r="J667" t="s">
        <v>564</v>
      </c>
      <c r="K667" t="s">
        <v>283</v>
      </c>
      <c r="L667" t="str">
        <f t="shared" si="10"/>
        <v>Z</v>
      </c>
      <c r="M667" t="s">
        <v>3</v>
      </c>
      <c r="N667" t="s">
        <v>310</v>
      </c>
      <c r="O667" t="s">
        <v>1148</v>
      </c>
    </row>
    <row r="668" spans="1:15" x14ac:dyDescent="0.6">
      <c r="A668" t="s">
        <v>331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561</v>
      </c>
      <c r="K668" t="s">
        <v>133</v>
      </c>
      <c r="L668" t="str">
        <f t="shared" si="10"/>
        <v>P</v>
      </c>
      <c r="M668" t="s">
        <v>3</v>
      </c>
      <c r="N668" t="s">
        <v>332</v>
      </c>
      <c r="O668" t="s">
        <v>1149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287</v>
      </c>
      <c r="O669" t="s">
        <v>1150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333</v>
      </c>
      <c r="O670" t="s">
        <v>1151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293</v>
      </c>
      <c r="O671" t="s">
        <v>1152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334</v>
      </c>
      <c r="O672" t="s">
        <v>1153</v>
      </c>
    </row>
    <row r="673" spans="1:15" x14ac:dyDescent="0.6">
      <c r="I673" s="2">
        <v>6</v>
      </c>
      <c r="J673" t="s">
        <v>561</v>
      </c>
      <c r="K673" t="s">
        <v>283</v>
      </c>
      <c r="L673" t="str">
        <f t="shared" si="10"/>
        <v>Z</v>
      </c>
      <c r="M673" t="s">
        <v>4</v>
      </c>
      <c r="N673" t="s">
        <v>287</v>
      </c>
      <c r="O673" t="s">
        <v>1154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332</v>
      </c>
      <c r="O674" t="s">
        <v>1155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293</v>
      </c>
      <c r="O675" t="s">
        <v>1156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334</v>
      </c>
      <c r="O676" t="s">
        <v>1157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333</v>
      </c>
      <c r="O677" t="s">
        <v>1158</v>
      </c>
    </row>
    <row r="678" spans="1:15" x14ac:dyDescent="0.6">
      <c r="I678" s="2">
        <v>11</v>
      </c>
      <c r="J678" t="s">
        <v>564</v>
      </c>
      <c r="K678" t="s">
        <v>283</v>
      </c>
      <c r="L678" t="str">
        <f t="shared" si="10"/>
        <v>Z</v>
      </c>
      <c r="M678" t="s">
        <v>3</v>
      </c>
      <c r="N678" t="s">
        <v>287</v>
      </c>
      <c r="O678" t="s">
        <v>1159</v>
      </c>
    </row>
    <row r="679" spans="1:15" x14ac:dyDescent="0.6">
      <c r="A679" t="s">
        <v>335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561</v>
      </c>
      <c r="K679" t="s">
        <v>18</v>
      </c>
      <c r="L679" t="str">
        <f t="shared" si="10"/>
        <v>Z</v>
      </c>
      <c r="M679" t="s">
        <v>4</v>
      </c>
      <c r="N679" t="s">
        <v>319</v>
      </c>
      <c r="O679" t="s">
        <v>1178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318</v>
      </c>
      <c r="O680" t="s">
        <v>1179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285</v>
      </c>
      <c r="O681" t="s">
        <v>1180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1181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1182</v>
      </c>
    </row>
    <row r="684" spans="1:15" x14ac:dyDescent="0.6">
      <c r="I684" s="2">
        <v>6</v>
      </c>
      <c r="J684" t="s">
        <v>561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1183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1184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285</v>
      </c>
      <c r="O686" t="s">
        <v>1185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318</v>
      </c>
      <c r="O687" t="s">
        <v>1186</v>
      </c>
    </row>
    <row r="688" spans="1:15" x14ac:dyDescent="0.6">
      <c r="A688" t="s">
        <v>336</v>
      </c>
      <c r="B688" t="s">
        <v>299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561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1187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1188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1189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1190</v>
      </c>
    </row>
    <row r="692" spans="1:15" x14ac:dyDescent="0.6">
      <c r="I692" s="2">
        <v>5</v>
      </c>
      <c r="J692" t="s">
        <v>561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1191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1192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1193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1194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1195</v>
      </c>
    </row>
    <row r="697" spans="1:15" x14ac:dyDescent="0.6">
      <c r="A697" t="s">
        <v>337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561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1196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338</v>
      </c>
      <c r="O698" t="s">
        <v>1197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1198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1199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1200</v>
      </c>
    </row>
    <row r="702" spans="1:15" x14ac:dyDescent="0.6">
      <c r="I702" s="2">
        <v>6</v>
      </c>
      <c r="J702" t="s">
        <v>561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1201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1202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1203</v>
      </c>
    </row>
    <row r="705" spans="1:15" x14ac:dyDescent="0.6">
      <c r="I705" s="2">
        <v>9</v>
      </c>
      <c r="J705" t="s">
        <v>564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1204</v>
      </c>
    </row>
    <row r="706" spans="1:15" x14ac:dyDescent="0.6">
      <c r="A706" t="s">
        <v>339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561</v>
      </c>
      <c r="K706" t="s">
        <v>133</v>
      </c>
      <c r="L706" t="str">
        <f t="shared" si="10"/>
        <v>P</v>
      </c>
      <c r="M706" t="s">
        <v>4</v>
      </c>
      <c r="N706" t="s">
        <v>225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</row>
    <row r="709" spans="1:15" x14ac:dyDescent="0.6">
      <c r="I709" s="2">
        <v>4</v>
      </c>
      <c r="J709" t="s">
        <v>561</v>
      </c>
      <c r="K709" t="s">
        <v>278</v>
      </c>
      <c r="L709" t="str">
        <f t="shared" si="11"/>
        <v>Z</v>
      </c>
      <c r="M709" t="s">
        <v>4</v>
      </c>
      <c r="N709" t="s">
        <v>229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306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</row>
    <row r="712" spans="1:15" x14ac:dyDescent="0.6">
      <c r="A712" t="s">
        <v>340</v>
      </c>
      <c r="B712" t="s">
        <v>131</v>
      </c>
      <c r="C712" t="s">
        <v>94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561</v>
      </c>
      <c r="K712" t="s">
        <v>8</v>
      </c>
      <c r="L712" t="str">
        <f t="shared" si="11"/>
        <v>P</v>
      </c>
      <c r="M712" t="s">
        <v>4</v>
      </c>
      <c r="N712" t="s">
        <v>206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341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</row>
    <row r="719" spans="1:15" x14ac:dyDescent="0.6">
      <c r="A719" t="s">
        <v>342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348</v>
      </c>
      <c r="I719" s="2">
        <v>1</v>
      </c>
      <c r="J719" t="s">
        <v>561</v>
      </c>
      <c r="K719" t="s">
        <v>132</v>
      </c>
      <c r="L719" t="str">
        <f t="shared" si="11"/>
        <v>P</v>
      </c>
      <c r="M719" t="s">
        <v>3</v>
      </c>
      <c r="N719" t="s">
        <v>343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297</v>
      </c>
    </row>
    <row r="721" spans="1:14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</row>
    <row r="722" spans="1:14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</row>
    <row r="723" spans="1:14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</row>
    <row r="724" spans="1:14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</row>
    <row r="725" spans="1:14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</row>
    <row r="726" spans="1:14" x14ac:dyDescent="0.6">
      <c r="A726" t="s">
        <v>344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349</v>
      </c>
      <c r="I726" s="2">
        <v>1</v>
      </c>
      <c r="J726" t="s">
        <v>561</v>
      </c>
      <c r="K726" t="s">
        <v>8</v>
      </c>
      <c r="L726" t="str">
        <f t="shared" si="11"/>
        <v>P</v>
      </c>
      <c r="M726" t="s">
        <v>3</v>
      </c>
      <c r="N726" t="s">
        <v>226</v>
      </c>
    </row>
    <row r="727" spans="1:14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</row>
    <row r="728" spans="1:14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345</v>
      </c>
    </row>
    <row r="729" spans="1:14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</row>
    <row r="730" spans="1:14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</row>
    <row r="731" spans="1:14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</row>
    <row r="732" spans="1:14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306</v>
      </c>
    </row>
    <row r="733" spans="1:14" x14ac:dyDescent="0.6">
      <c r="A733" t="s">
        <v>346</v>
      </c>
      <c r="B733" t="s">
        <v>347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351</v>
      </c>
      <c r="I733" s="2">
        <v>1</v>
      </c>
      <c r="J733" t="s">
        <v>561</v>
      </c>
      <c r="K733" t="s">
        <v>133</v>
      </c>
      <c r="L733" t="str">
        <f t="shared" si="11"/>
        <v>P</v>
      </c>
      <c r="M733" t="s">
        <v>3</v>
      </c>
      <c r="N733" t="s">
        <v>96</v>
      </c>
    </row>
    <row r="734" spans="1:14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</row>
    <row r="735" spans="1:14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</row>
    <row r="736" spans="1:14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287</v>
      </c>
    </row>
    <row r="737" spans="1:14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350</v>
      </c>
    </row>
    <row r="738" spans="1:14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</row>
    <row r="739" spans="1:14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</row>
    <row r="740" spans="1:14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</row>
    <row r="741" spans="1:14" x14ac:dyDescent="0.6">
      <c r="A741" t="s">
        <v>352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353</v>
      </c>
      <c r="I741" s="2">
        <v>1</v>
      </c>
      <c r="J741" t="s">
        <v>561</v>
      </c>
      <c r="K741" t="s">
        <v>18</v>
      </c>
      <c r="L741" t="str">
        <f t="shared" si="11"/>
        <v>Z</v>
      </c>
      <c r="M741" t="s">
        <v>3</v>
      </c>
      <c r="N741" t="s">
        <v>77</v>
      </c>
    </row>
    <row r="742" spans="1:14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</row>
    <row r="743" spans="1:14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</row>
    <row r="744" spans="1:14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354</v>
      </c>
    </row>
    <row r="745" spans="1:14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355</v>
      </c>
    </row>
    <row r="746" spans="1:14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301</v>
      </c>
    </row>
    <row r="747" spans="1:14" x14ac:dyDescent="0.6">
      <c r="A747" t="s">
        <v>356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353</v>
      </c>
      <c r="I747" s="2">
        <v>1</v>
      </c>
      <c r="J747" t="s">
        <v>561</v>
      </c>
      <c r="K747" t="s">
        <v>66</v>
      </c>
      <c r="L747" t="str">
        <f t="shared" si="11"/>
        <v>Z</v>
      </c>
      <c r="M747" t="s">
        <v>3</v>
      </c>
      <c r="N747" t="s">
        <v>345</v>
      </c>
    </row>
    <row r="748" spans="1:14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324</v>
      </c>
    </row>
    <row r="749" spans="1:14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</row>
    <row r="750" spans="1:14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</row>
    <row r="751" spans="1:14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</row>
    <row r="752" spans="1:14" x14ac:dyDescent="0.6">
      <c r="A752" t="s">
        <v>357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561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4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4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4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4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307</v>
      </c>
    </row>
    <row r="757" spans="1:14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307</v>
      </c>
    </row>
    <row r="758" spans="1:14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307</v>
      </c>
    </row>
    <row r="759" spans="1:14" x14ac:dyDescent="0.6">
      <c r="A759" t="s">
        <v>358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561</v>
      </c>
      <c r="K759" t="s">
        <v>132</v>
      </c>
      <c r="L759" t="str">
        <f t="shared" si="11"/>
        <v>P</v>
      </c>
      <c r="M759" t="s">
        <v>3</v>
      </c>
      <c r="N759" t="s">
        <v>354</v>
      </c>
    </row>
    <row r="760" spans="1:14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284</v>
      </c>
    </row>
    <row r="761" spans="1:14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</row>
    <row r="762" spans="1:14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355</v>
      </c>
    </row>
    <row r="763" spans="1:14" x14ac:dyDescent="0.6">
      <c r="I763" s="2">
        <v>5</v>
      </c>
      <c r="J763" t="s">
        <v>561</v>
      </c>
      <c r="K763" t="s">
        <v>177</v>
      </c>
      <c r="L763" t="str">
        <f t="shared" si="11"/>
        <v>T</v>
      </c>
      <c r="M763" t="s">
        <v>4</v>
      </c>
      <c r="N763" t="s">
        <v>355</v>
      </c>
    </row>
    <row r="764" spans="1:14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</row>
    <row r="765" spans="1:14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301</v>
      </c>
    </row>
    <row r="766" spans="1:14" x14ac:dyDescent="0.6">
      <c r="I766" s="2">
        <v>8</v>
      </c>
      <c r="J766" t="s">
        <v>564</v>
      </c>
      <c r="K766" t="s">
        <v>8</v>
      </c>
      <c r="L766" t="str">
        <f t="shared" si="11"/>
        <v>P</v>
      </c>
      <c r="M766" t="s">
        <v>3</v>
      </c>
      <c r="N766" t="s">
        <v>149</v>
      </c>
    </row>
    <row r="767" spans="1:14" x14ac:dyDescent="0.6">
      <c r="A767" t="s">
        <v>359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561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4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306</v>
      </c>
    </row>
    <row r="770" spans="1:14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4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4" x14ac:dyDescent="0.6">
      <c r="I772" s="2">
        <v>6</v>
      </c>
      <c r="J772" t="s">
        <v>561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4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306</v>
      </c>
    </row>
    <row r="774" spans="1:14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4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I776" s="2">
        <v>10</v>
      </c>
      <c r="J776" t="s">
        <v>564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4" x14ac:dyDescent="0.6">
      <c r="A777" t="s">
        <v>360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561</v>
      </c>
      <c r="K777" t="s">
        <v>132</v>
      </c>
      <c r="L777" t="str">
        <f t="shared" si="12"/>
        <v>P</v>
      </c>
      <c r="M777" t="s">
        <v>4</v>
      </c>
      <c r="N777" t="s">
        <v>183</v>
      </c>
    </row>
    <row r="778" spans="1:14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</row>
    <row r="779" spans="1:14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</row>
    <row r="780" spans="1:14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</row>
    <row r="781" spans="1:14" x14ac:dyDescent="0.6">
      <c r="I781" s="2">
        <v>5</v>
      </c>
      <c r="J781" t="s">
        <v>561</v>
      </c>
      <c r="K781" t="s">
        <v>18</v>
      </c>
      <c r="L781" t="str">
        <f t="shared" si="12"/>
        <v>Z</v>
      </c>
      <c r="M781" t="s">
        <v>3</v>
      </c>
      <c r="N781" t="s">
        <v>39</v>
      </c>
    </row>
    <row r="782" spans="1:14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</row>
    <row r="783" spans="1:14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</row>
    <row r="784" spans="1:14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</row>
    <row r="785" spans="1:14" x14ac:dyDescent="0.6">
      <c r="A785" t="s">
        <v>361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561</v>
      </c>
      <c r="K785" t="s">
        <v>132</v>
      </c>
      <c r="L785" t="str">
        <f t="shared" si="12"/>
        <v>P</v>
      </c>
      <c r="M785" t="s">
        <v>3</v>
      </c>
      <c r="N785" t="s">
        <v>354</v>
      </c>
    </row>
    <row r="786" spans="1:14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</row>
    <row r="787" spans="1:14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355</v>
      </c>
    </row>
    <row r="788" spans="1:14" x14ac:dyDescent="0.6">
      <c r="I788" s="2">
        <v>4</v>
      </c>
      <c r="J788" t="s">
        <v>561</v>
      </c>
      <c r="K788" t="s">
        <v>133</v>
      </c>
      <c r="L788" t="str">
        <f t="shared" si="12"/>
        <v>P</v>
      </c>
      <c r="M788" t="s">
        <v>3</v>
      </c>
      <c r="N788" t="s">
        <v>225</v>
      </c>
    </row>
    <row r="789" spans="1:14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301</v>
      </c>
    </row>
    <row r="790" spans="1:14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355</v>
      </c>
    </row>
    <row r="791" spans="1:14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</row>
    <row r="792" spans="1:14" x14ac:dyDescent="0.6">
      <c r="A792" t="s">
        <v>362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561</v>
      </c>
      <c r="K792" t="s">
        <v>216</v>
      </c>
      <c r="L792" t="str">
        <f t="shared" si="12"/>
        <v>P</v>
      </c>
      <c r="M792" t="s">
        <v>3</v>
      </c>
      <c r="N792" t="s">
        <v>363</v>
      </c>
    </row>
    <row r="793" spans="1:14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</row>
    <row r="794" spans="1:14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</row>
    <row r="795" spans="1:14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</row>
    <row r="796" spans="1:14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</row>
    <row r="797" spans="1:14" x14ac:dyDescent="0.6">
      <c r="A797" t="s">
        <v>364</v>
      </c>
      <c r="B797" t="s">
        <v>365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561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4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4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4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319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319</v>
      </c>
    </row>
    <row r="805" spans="1:14" x14ac:dyDescent="0.6">
      <c r="A805" t="s">
        <v>366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561</v>
      </c>
      <c r="K805" t="s">
        <v>302</v>
      </c>
      <c r="L805" t="str">
        <f t="shared" si="12"/>
        <v>P</v>
      </c>
      <c r="M805" t="s">
        <v>4</v>
      </c>
      <c r="N805" t="s">
        <v>322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367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368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369</v>
      </c>
      <c r="B810" t="s">
        <v>370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561</v>
      </c>
      <c r="K810" t="s">
        <v>132</v>
      </c>
      <c r="L810" t="str">
        <f t="shared" si="12"/>
        <v>P</v>
      </c>
      <c r="M810" t="s">
        <v>4</v>
      </c>
      <c r="N810" t="s">
        <v>350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290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371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561</v>
      </c>
      <c r="K814" t="s">
        <v>177</v>
      </c>
      <c r="L814" t="str">
        <f t="shared" si="12"/>
        <v>T</v>
      </c>
      <c r="M814" t="s">
        <v>4</v>
      </c>
      <c r="N814" t="s">
        <v>290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371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350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372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561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345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561</v>
      </c>
      <c r="K823" t="s">
        <v>177</v>
      </c>
      <c r="L823" t="str">
        <f t="shared" si="12"/>
        <v>T</v>
      </c>
      <c r="M823" t="s">
        <v>4</v>
      </c>
      <c r="N823" t="s">
        <v>345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373</v>
      </c>
      <c r="B826" t="s">
        <v>347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561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374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375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292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376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561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377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378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381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561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379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561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379</v>
      </c>
    </row>
    <row r="849" spans="1:14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4" x14ac:dyDescent="0.6">
      <c r="I850" s="2">
        <v>10</v>
      </c>
      <c r="J850" t="s">
        <v>564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4" x14ac:dyDescent="0.6">
      <c r="A851" t="s">
        <v>380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561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4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4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4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4" x14ac:dyDescent="0.6">
      <c r="I855" s="2">
        <v>5</v>
      </c>
      <c r="J855" t="s">
        <v>561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4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4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4" x14ac:dyDescent="0.6">
      <c r="A858" t="s">
        <v>382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561</v>
      </c>
      <c r="K858" t="s">
        <v>8</v>
      </c>
      <c r="L858" t="str">
        <f t="shared" si="13"/>
        <v>P</v>
      </c>
      <c r="M858" t="s">
        <v>4</v>
      </c>
      <c r="N858" t="s">
        <v>86</v>
      </c>
    </row>
    <row r="859" spans="1:14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383</v>
      </c>
    </row>
    <row r="860" spans="1:14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384</v>
      </c>
    </row>
    <row r="861" spans="1:14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368</v>
      </c>
    </row>
    <row r="862" spans="1:14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385</v>
      </c>
    </row>
    <row r="863" spans="1:14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</row>
    <row r="864" spans="1:14" x14ac:dyDescent="0.6">
      <c r="A864" t="s">
        <v>386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561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341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561</v>
      </c>
      <c r="K867" t="s">
        <v>145</v>
      </c>
      <c r="L867" t="str">
        <f t="shared" si="13"/>
        <v>P</v>
      </c>
      <c r="M867" t="s">
        <v>3</v>
      </c>
      <c r="N867" t="s">
        <v>341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387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561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388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389</v>
      </c>
      <c r="B880" t="s">
        <v>299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561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390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561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393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393</v>
      </c>
    </row>
    <row r="892" spans="1:14" x14ac:dyDescent="0.6">
      <c r="I892" s="2">
        <v>6</v>
      </c>
      <c r="J892" t="s">
        <v>561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392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393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393</v>
      </c>
    </row>
    <row r="897" spans="1:14" x14ac:dyDescent="0.6">
      <c r="I897" s="2">
        <v>11</v>
      </c>
      <c r="J897" t="s">
        <v>564</v>
      </c>
      <c r="K897" t="s">
        <v>278</v>
      </c>
      <c r="L897" t="str">
        <f t="shared" si="13"/>
        <v>Z</v>
      </c>
      <c r="M897" t="s">
        <v>3</v>
      </c>
      <c r="N897" t="s">
        <v>393</v>
      </c>
    </row>
    <row r="898" spans="1:14" x14ac:dyDescent="0.6">
      <c r="A898" t="s">
        <v>394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561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385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368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395</v>
      </c>
    </row>
    <row r="902" spans="1:14" x14ac:dyDescent="0.6">
      <c r="I902" s="2">
        <v>5</v>
      </c>
      <c r="J902" t="s">
        <v>561</v>
      </c>
      <c r="K902" t="s">
        <v>278</v>
      </c>
      <c r="L902" t="str">
        <f t="shared" si="14"/>
        <v>Z</v>
      </c>
      <c r="M902" t="s">
        <v>3</v>
      </c>
      <c r="N902" t="s">
        <v>395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385</v>
      </c>
    </row>
    <row r="905" spans="1:14" x14ac:dyDescent="0.6">
      <c r="I905" s="2">
        <v>8</v>
      </c>
      <c r="J905" t="s">
        <v>564</v>
      </c>
      <c r="K905" t="s">
        <v>37</v>
      </c>
      <c r="L905" t="str">
        <f t="shared" si="14"/>
        <v>Z</v>
      </c>
      <c r="M905" t="s">
        <v>4</v>
      </c>
      <c r="N905" t="s">
        <v>368</v>
      </c>
    </row>
    <row r="906" spans="1:14" x14ac:dyDescent="0.6">
      <c r="A906" t="s">
        <v>396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561</v>
      </c>
      <c r="K906" t="s">
        <v>37</v>
      </c>
      <c r="L906" t="str">
        <f t="shared" si="14"/>
        <v>Z</v>
      </c>
      <c r="M906" t="s">
        <v>3</v>
      </c>
      <c r="N906" t="s">
        <v>397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398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397</v>
      </c>
    </row>
    <row r="911" spans="1:14" x14ac:dyDescent="0.6">
      <c r="A911" t="s">
        <v>396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561</v>
      </c>
      <c r="K911" t="s">
        <v>132</v>
      </c>
      <c r="L911" t="str">
        <f t="shared" si="14"/>
        <v>P</v>
      </c>
      <c r="M911" t="s">
        <v>3</v>
      </c>
      <c r="N911" t="s">
        <v>307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399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561</v>
      </c>
      <c r="K915" t="s">
        <v>132</v>
      </c>
      <c r="L915" t="str">
        <f t="shared" si="14"/>
        <v>P</v>
      </c>
      <c r="M915" t="s">
        <v>4</v>
      </c>
      <c r="N915" t="s">
        <v>307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399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564</v>
      </c>
      <c r="K918" t="s">
        <v>132</v>
      </c>
      <c r="L918" t="str">
        <f t="shared" si="14"/>
        <v>P</v>
      </c>
      <c r="M918" t="s">
        <v>4</v>
      </c>
      <c r="N918" t="s">
        <v>307</v>
      </c>
    </row>
    <row r="919" spans="1:15" x14ac:dyDescent="0.6">
      <c r="A919" t="s">
        <v>478</v>
      </c>
      <c r="B919" t="s">
        <v>479</v>
      </c>
      <c r="C919" t="s">
        <v>480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561</v>
      </c>
      <c r="K919" t="s">
        <v>481</v>
      </c>
      <c r="L919" t="str">
        <f t="shared" si="14"/>
        <v>T</v>
      </c>
      <c r="M919" t="s">
        <v>4</v>
      </c>
      <c r="N919" t="s">
        <v>487</v>
      </c>
      <c r="O919" t="s">
        <v>516</v>
      </c>
    </row>
    <row r="920" spans="1:15" x14ac:dyDescent="0.6">
      <c r="I920">
        <v>2</v>
      </c>
      <c r="J920">
        <v>2</v>
      </c>
      <c r="K920" t="s">
        <v>482</v>
      </c>
      <c r="L920" t="str">
        <f t="shared" si="14"/>
        <v>P</v>
      </c>
      <c r="M920" t="s">
        <v>4</v>
      </c>
      <c r="N920" t="s">
        <v>488</v>
      </c>
      <c r="O920" t="s">
        <v>517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489</v>
      </c>
      <c r="O921" t="s">
        <v>518</v>
      </c>
    </row>
    <row r="922" spans="1:15" x14ac:dyDescent="0.6">
      <c r="I922">
        <v>4</v>
      </c>
      <c r="J922">
        <v>4</v>
      </c>
      <c r="K922" t="s">
        <v>483</v>
      </c>
      <c r="L922" t="str">
        <f t="shared" si="14"/>
        <v>Z</v>
      </c>
      <c r="M922" t="s">
        <v>4</v>
      </c>
      <c r="N922" t="s">
        <v>490</v>
      </c>
      <c r="O922" t="s">
        <v>519</v>
      </c>
    </row>
    <row r="923" spans="1:15" x14ac:dyDescent="0.6">
      <c r="I923">
        <v>5</v>
      </c>
      <c r="J923">
        <v>5</v>
      </c>
      <c r="K923" t="s">
        <v>484</v>
      </c>
      <c r="L923" t="str">
        <f t="shared" si="14"/>
        <v>P</v>
      </c>
      <c r="M923" t="s">
        <v>3</v>
      </c>
      <c r="N923" t="s">
        <v>491</v>
      </c>
      <c r="O923" t="s">
        <v>520</v>
      </c>
    </row>
    <row r="924" spans="1:15" x14ac:dyDescent="0.6">
      <c r="I924">
        <v>6</v>
      </c>
      <c r="J924">
        <v>6</v>
      </c>
      <c r="K924" t="s">
        <v>485</v>
      </c>
      <c r="L924" t="str">
        <f t="shared" si="14"/>
        <v>T</v>
      </c>
      <c r="M924" t="s">
        <v>4</v>
      </c>
      <c r="N924" t="s">
        <v>492</v>
      </c>
      <c r="O924" t="s">
        <v>521</v>
      </c>
    </row>
    <row r="925" spans="1:15" x14ac:dyDescent="0.6">
      <c r="I925">
        <v>7</v>
      </c>
      <c r="J925">
        <v>7</v>
      </c>
      <c r="K925" t="s">
        <v>486</v>
      </c>
      <c r="L925" t="str">
        <f t="shared" si="14"/>
        <v>Z</v>
      </c>
      <c r="M925" t="s">
        <v>4</v>
      </c>
      <c r="N925" t="s">
        <v>493</v>
      </c>
      <c r="O925" t="s">
        <v>522</v>
      </c>
    </row>
    <row r="926" spans="1:15" x14ac:dyDescent="0.6">
      <c r="A926" t="s">
        <v>494</v>
      </c>
      <c r="B926" t="s">
        <v>495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561</v>
      </c>
      <c r="K926" t="s">
        <v>26</v>
      </c>
      <c r="L926" t="str">
        <f t="shared" si="14"/>
        <v>T</v>
      </c>
      <c r="M926" t="s">
        <v>4</v>
      </c>
      <c r="N926" t="s">
        <v>497</v>
      </c>
      <c r="O926" t="s">
        <v>508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497</v>
      </c>
      <c r="O927" t="s">
        <v>509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498</v>
      </c>
      <c r="O928" t="s">
        <v>510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499</v>
      </c>
      <c r="O929" t="s">
        <v>511</v>
      </c>
    </row>
    <row r="930" spans="1:15" x14ac:dyDescent="0.6">
      <c r="I930">
        <v>5</v>
      </c>
      <c r="J930">
        <v>5</v>
      </c>
      <c r="K930" t="s">
        <v>496</v>
      </c>
      <c r="L930" t="str">
        <f t="shared" si="14"/>
        <v>P</v>
      </c>
      <c r="M930" t="s">
        <v>3</v>
      </c>
      <c r="N930" t="s">
        <v>499</v>
      </c>
      <c r="O930" t="s">
        <v>512</v>
      </c>
    </row>
    <row r="931" spans="1:15" x14ac:dyDescent="0.6">
      <c r="I931">
        <v>6</v>
      </c>
      <c r="J931">
        <v>6</v>
      </c>
      <c r="K931" t="s">
        <v>496</v>
      </c>
      <c r="L931" t="str">
        <f t="shared" si="14"/>
        <v>P</v>
      </c>
      <c r="M931" t="s">
        <v>4</v>
      </c>
      <c r="N931" t="s">
        <v>498</v>
      </c>
      <c r="O931" t="s">
        <v>513</v>
      </c>
    </row>
    <row r="932" spans="1:15" x14ac:dyDescent="0.6">
      <c r="I932">
        <v>7</v>
      </c>
      <c r="J932">
        <v>7</v>
      </c>
      <c r="K932" t="s">
        <v>500</v>
      </c>
      <c r="L932" t="str">
        <f>IFERROR(INDEX($R$2:$R$99,MATCH(K932,$Q$2:$Q$99,0)),"")</f>
        <v>T</v>
      </c>
      <c r="M932" t="s">
        <v>3</v>
      </c>
      <c r="N932" t="s">
        <v>499</v>
      </c>
      <c r="O932" t="s">
        <v>514</v>
      </c>
    </row>
    <row r="933" spans="1:15" x14ac:dyDescent="0.6">
      <c r="I933">
        <v>8</v>
      </c>
      <c r="J933">
        <v>8</v>
      </c>
      <c r="K933" t="s">
        <v>500</v>
      </c>
      <c r="L933" t="str">
        <f t="shared" ref="L933:L996" si="15">IFERROR(INDEX($R$2:$R$99,MATCH(K933,$Q$2:$Q$99,0)),"")</f>
        <v>T</v>
      </c>
      <c r="M933" t="s">
        <v>3</v>
      </c>
      <c r="N933" t="s">
        <v>498</v>
      </c>
      <c r="O933" t="s">
        <v>515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561</v>
      </c>
      <c r="K934" t="s">
        <v>571</v>
      </c>
      <c r="L934" t="str">
        <f t="shared" si="15"/>
        <v>T</v>
      </c>
      <c r="M934" t="s">
        <v>3</v>
      </c>
      <c r="N934" t="s">
        <v>572</v>
      </c>
      <c r="O934" t="s">
        <v>577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573</v>
      </c>
      <c r="O935" t="s">
        <v>578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574</v>
      </c>
      <c r="O936" t="s">
        <v>579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575</v>
      </c>
      <c r="O937" t="s">
        <v>580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576</v>
      </c>
      <c r="O938" t="s">
        <v>581</v>
      </c>
    </row>
    <row r="939" spans="1:15" x14ac:dyDescent="0.6">
      <c r="I939">
        <v>6</v>
      </c>
      <c r="J939" t="s">
        <v>561</v>
      </c>
      <c r="K939" t="s">
        <v>582</v>
      </c>
      <c r="L939" t="str">
        <f t="shared" si="15"/>
        <v>P</v>
      </c>
      <c r="M939" t="s">
        <v>589</v>
      </c>
      <c r="N939" t="s">
        <v>573</v>
      </c>
      <c r="O939" t="s">
        <v>583</v>
      </c>
    </row>
    <row r="940" spans="1:15" x14ac:dyDescent="0.6">
      <c r="I940">
        <v>7</v>
      </c>
      <c r="J940">
        <v>2</v>
      </c>
      <c r="K940" t="s">
        <v>582</v>
      </c>
      <c r="L940" t="str">
        <f t="shared" si="15"/>
        <v>P</v>
      </c>
      <c r="M940" t="s">
        <v>589</v>
      </c>
      <c r="N940" t="s">
        <v>576</v>
      </c>
      <c r="O940" t="s">
        <v>584</v>
      </c>
    </row>
    <row r="941" spans="1:15" x14ac:dyDescent="0.6">
      <c r="I941">
        <v>8</v>
      </c>
      <c r="J941">
        <v>3</v>
      </c>
      <c r="K941" t="s">
        <v>582</v>
      </c>
      <c r="L941" t="str">
        <f t="shared" si="15"/>
        <v>P</v>
      </c>
      <c r="M941" t="s">
        <v>588</v>
      </c>
      <c r="N941" t="s">
        <v>574</v>
      </c>
      <c r="O941" t="s">
        <v>585</v>
      </c>
    </row>
    <row r="942" spans="1:15" x14ac:dyDescent="0.6">
      <c r="I942">
        <v>9</v>
      </c>
      <c r="J942">
        <v>4</v>
      </c>
      <c r="K942" t="s">
        <v>587</v>
      </c>
      <c r="L942" t="str">
        <f t="shared" si="15"/>
        <v>Z</v>
      </c>
      <c r="M942" t="s">
        <v>588</v>
      </c>
      <c r="N942" t="s">
        <v>574</v>
      </c>
      <c r="O942" t="s">
        <v>586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588</v>
      </c>
      <c r="N943" t="s">
        <v>574</v>
      </c>
      <c r="O943" t="s">
        <v>590</v>
      </c>
    </row>
    <row r="944" spans="1:15" x14ac:dyDescent="0.6">
      <c r="I944">
        <v>11</v>
      </c>
      <c r="J944">
        <v>6</v>
      </c>
      <c r="K944" t="s">
        <v>571</v>
      </c>
      <c r="L944" t="str">
        <f t="shared" si="15"/>
        <v>T</v>
      </c>
      <c r="M944" t="s">
        <v>3</v>
      </c>
      <c r="N944" t="s">
        <v>574</v>
      </c>
      <c r="O944" t="s">
        <v>591</v>
      </c>
    </row>
    <row r="945" spans="1:15" x14ac:dyDescent="0.6">
      <c r="I945">
        <v>12</v>
      </c>
      <c r="J945">
        <v>7</v>
      </c>
      <c r="K945" t="s">
        <v>571</v>
      </c>
      <c r="L945" t="str">
        <f t="shared" si="15"/>
        <v>T</v>
      </c>
      <c r="M945" t="s">
        <v>3</v>
      </c>
      <c r="N945" t="s">
        <v>572</v>
      </c>
      <c r="O945" t="s">
        <v>592</v>
      </c>
    </row>
    <row r="946" spans="1:15" x14ac:dyDescent="0.6">
      <c r="I946">
        <v>13</v>
      </c>
      <c r="J946">
        <v>8</v>
      </c>
      <c r="K946" t="s">
        <v>571</v>
      </c>
      <c r="L946" t="str">
        <f t="shared" si="15"/>
        <v>T</v>
      </c>
      <c r="M946" t="s">
        <v>3</v>
      </c>
      <c r="N946" t="s">
        <v>575</v>
      </c>
      <c r="O946" t="s">
        <v>593</v>
      </c>
    </row>
    <row r="947" spans="1:15" x14ac:dyDescent="0.6">
      <c r="I947">
        <v>14</v>
      </c>
      <c r="J947" t="s">
        <v>564</v>
      </c>
      <c r="K947" t="s">
        <v>571</v>
      </c>
      <c r="L947" t="str">
        <f t="shared" si="15"/>
        <v>T</v>
      </c>
      <c r="M947" t="s">
        <v>588</v>
      </c>
      <c r="N947" t="s">
        <v>574</v>
      </c>
      <c r="O947" t="s">
        <v>594</v>
      </c>
    </row>
    <row r="948" spans="1:15" x14ac:dyDescent="0.6">
      <c r="A948" t="s">
        <v>676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561</v>
      </c>
      <c r="K948" t="s">
        <v>677</v>
      </c>
      <c r="L948" t="str">
        <f t="shared" si="15"/>
        <v>Z</v>
      </c>
      <c r="M948" t="s">
        <v>3</v>
      </c>
      <c r="N948" t="s">
        <v>679</v>
      </c>
      <c r="O948" t="s">
        <v>788</v>
      </c>
    </row>
    <row r="949" spans="1:15" x14ac:dyDescent="0.6">
      <c r="I949">
        <v>2</v>
      </c>
      <c r="J949">
        <v>2</v>
      </c>
      <c r="K949" t="s">
        <v>678</v>
      </c>
      <c r="L949" t="str">
        <f t="shared" si="15"/>
        <v>Z</v>
      </c>
      <c r="M949" t="s">
        <v>588</v>
      </c>
      <c r="N949" t="s">
        <v>680</v>
      </c>
      <c r="O949" t="s">
        <v>789</v>
      </c>
    </row>
    <row r="950" spans="1:15" x14ac:dyDescent="0.6">
      <c r="I950">
        <v>3</v>
      </c>
      <c r="J950">
        <v>3</v>
      </c>
      <c r="K950" t="s">
        <v>677</v>
      </c>
      <c r="L950" t="str">
        <f t="shared" ref="L950:L955" si="16">IFERROR(INDEX($R$2:$R$99,MATCH(K950,$Q$2:$Q$99,0)),"")</f>
        <v>Z</v>
      </c>
      <c r="M950" t="s">
        <v>3</v>
      </c>
      <c r="N950" t="s">
        <v>679</v>
      </c>
      <c r="O950" t="s">
        <v>790</v>
      </c>
    </row>
    <row r="951" spans="1:15" x14ac:dyDescent="0.6">
      <c r="I951">
        <v>4</v>
      </c>
      <c r="J951">
        <v>4</v>
      </c>
      <c r="K951" t="s">
        <v>678</v>
      </c>
      <c r="L951" t="str">
        <f t="shared" si="16"/>
        <v>Z</v>
      </c>
      <c r="M951" t="s">
        <v>588</v>
      </c>
      <c r="N951" t="s">
        <v>680</v>
      </c>
      <c r="O951" t="s">
        <v>791</v>
      </c>
    </row>
    <row r="952" spans="1:15" x14ac:dyDescent="0.6">
      <c r="I952">
        <v>5</v>
      </c>
      <c r="J952">
        <v>5</v>
      </c>
      <c r="K952" t="s">
        <v>677</v>
      </c>
      <c r="L952" t="str">
        <f t="shared" si="16"/>
        <v>Z</v>
      </c>
      <c r="M952" t="s">
        <v>3</v>
      </c>
      <c r="N952" t="s">
        <v>679</v>
      </c>
      <c r="O952" t="s">
        <v>792</v>
      </c>
    </row>
    <row r="953" spans="1:15" x14ac:dyDescent="0.6">
      <c r="I953">
        <v>6</v>
      </c>
      <c r="J953">
        <v>6</v>
      </c>
      <c r="K953" t="s">
        <v>678</v>
      </c>
      <c r="L953" t="str">
        <f t="shared" si="16"/>
        <v>Z</v>
      </c>
      <c r="M953" t="s">
        <v>588</v>
      </c>
      <c r="N953" t="s">
        <v>680</v>
      </c>
      <c r="O953" t="s">
        <v>793</v>
      </c>
    </row>
    <row r="954" spans="1:15" x14ac:dyDescent="0.6">
      <c r="I954">
        <v>7</v>
      </c>
      <c r="J954">
        <v>7</v>
      </c>
      <c r="K954" t="s">
        <v>677</v>
      </c>
      <c r="L954" t="str">
        <f t="shared" si="16"/>
        <v>Z</v>
      </c>
      <c r="M954" t="s">
        <v>588</v>
      </c>
      <c r="N954" t="s">
        <v>679</v>
      </c>
      <c r="O954" t="s">
        <v>794</v>
      </c>
    </row>
    <row r="955" spans="1:15" x14ac:dyDescent="0.6">
      <c r="I955">
        <v>8</v>
      </c>
      <c r="J955">
        <v>8</v>
      </c>
      <c r="K955" t="s">
        <v>678</v>
      </c>
      <c r="L955" t="str">
        <f t="shared" si="16"/>
        <v>Z</v>
      </c>
      <c r="M955" t="s">
        <v>588</v>
      </c>
      <c r="N955" t="s">
        <v>680</v>
      </c>
      <c r="O955" t="s">
        <v>795</v>
      </c>
    </row>
    <row r="956" spans="1:15" x14ac:dyDescent="0.6">
      <c r="I956">
        <v>9</v>
      </c>
      <c r="J956">
        <v>9</v>
      </c>
      <c r="K956" t="s">
        <v>678</v>
      </c>
      <c r="L956" t="str">
        <f t="shared" ref="L956" si="17">IFERROR(INDEX($R$2:$R$99,MATCH(K956,$Q$2:$Q$99,0)),"")</f>
        <v>Z</v>
      </c>
      <c r="M956" t="s">
        <v>588</v>
      </c>
      <c r="N956" t="s">
        <v>680</v>
      </c>
      <c r="O956" t="s">
        <v>796</v>
      </c>
    </row>
    <row r="957" spans="1:15" x14ac:dyDescent="0.6">
      <c r="A957" t="s">
        <v>711</v>
      </c>
      <c r="C957" t="s">
        <v>47</v>
      </c>
      <c r="D957" t="str">
        <f>IF(E957&gt;F957,"승",IF(E957&lt;F957,"패"))</f>
        <v>패</v>
      </c>
      <c r="E957">
        <f>COUNTIF(M957:M965,"승")</f>
        <v>4</v>
      </c>
      <c r="F957">
        <f>COUNTA(M957:M965)-E957</f>
        <v>5</v>
      </c>
      <c r="G957" s="1">
        <f>E957/(E957+F957)</f>
        <v>0.44444444444444442</v>
      </c>
      <c r="I957" s="2">
        <v>1</v>
      </c>
      <c r="J957" s="2">
        <v>1</v>
      </c>
      <c r="K957" t="s">
        <v>712</v>
      </c>
      <c r="L957" t="str">
        <f t="shared" si="15"/>
        <v>T</v>
      </c>
      <c r="M957" t="s">
        <v>588</v>
      </c>
      <c r="N957" t="s">
        <v>713</v>
      </c>
      <c r="O957" t="s">
        <v>714</v>
      </c>
    </row>
    <row r="958" spans="1:15" x14ac:dyDescent="0.6">
      <c r="I958" s="2">
        <v>2</v>
      </c>
      <c r="J958" s="2">
        <v>2</v>
      </c>
      <c r="K958" t="s">
        <v>712</v>
      </c>
      <c r="L958" t="str">
        <f t="shared" si="15"/>
        <v>T</v>
      </c>
      <c r="M958" t="s">
        <v>588</v>
      </c>
      <c r="N958" t="s">
        <v>713</v>
      </c>
      <c r="O958" t="s">
        <v>715</v>
      </c>
    </row>
    <row r="959" spans="1:15" x14ac:dyDescent="0.6">
      <c r="I959" s="2">
        <v>3</v>
      </c>
      <c r="J959" s="2">
        <v>3</v>
      </c>
      <c r="K959" t="s">
        <v>712</v>
      </c>
      <c r="L959" t="str">
        <f t="shared" si="15"/>
        <v>T</v>
      </c>
      <c r="M959" t="s">
        <v>3</v>
      </c>
      <c r="N959" t="s">
        <v>713</v>
      </c>
      <c r="O959" t="s">
        <v>716</v>
      </c>
    </row>
    <row r="960" spans="1:15" x14ac:dyDescent="0.6">
      <c r="I960" s="2">
        <v>4</v>
      </c>
      <c r="J960" s="2">
        <v>4</v>
      </c>
      <c r="K960" t="s">
        <v>712</v>
      </c>
      <c r="L960" t="str">
        <f t="shared" si="15"/>
        <v>T</v>
      </c>
      <c r="M960" t="s">
        <v>588</v>
      </c>
      <c r="N960" t="s">
        <v>713</v>
      </c>
      <c r="O960" t="s">
        <v>717</v>
      </c>
    </row>
    <row r="961" spans="1:15" x14ac:dyDescent="0.6">
      <c r="I961" s="2">
        <v>5</v>
      </c>
      <c r="J961" s="2">
        <v>5</v>
      </c>
      <c r="K961" t="s">
        <v>712</v>
      </c>
      <c r="L961" t="str">
        <f t="shared" si="15"/>
        <v>T</v>
      </c>
      <c r="M961" t="s">
        <v>3</v>
      </c>
      <c r="N961" t="s">
        <v>713</v>
      </c>
      <c r="O961" t="s">
        <v>718</v>
      </c>
    </row>
    <row r="962" spans="1:15" x14ac:dyDescent="0.6">
      <c r="I962" s="2">
        <v>6</v>
      </c>
      <c r="J962" s="2">
        <v>6</v>
      </c>
      <c r="K962" t="s">
        <v>712</v>
      </c>
      <c r="L962" t="str">
        <f t="shared" si="15"/>
        <v>T</v>
      </c>
      <c r="M962" t="s">
        <v>3</v>
      </c>
      <c r="N962" t="s">
        <v>713</v>
      </c>
      <c r="O962" t="s">
        <v>719</v>
      </c>
    </row>
    <row r="963" spans="1:15" x14ac:dyDescent="0.6">
      <c r="I963" s="2">
        <v>7</v>
      </c>
      <c r="J963" s="2">
        <v>7</v>
      </c>
      <c r="K963" t="s">
        <v>712</v>
      </c>
      <c r="L963" t="str">
        <f t="shared" si="15"/>
        <v>T</v>
      </c>
      <c r="M963" t="s">
        <v>3</v>
      </c>
      <c r="N963" t="s">
        <v>713</v>
      </c>
      <c r="O963" t="s">
        <v>720</v>
      </c>
    </row>
    <row r="964" spans="1:15" x14ac:dyDescent="0.6">
      <c r="A964" t="s">
        <v>797</v>
      </c>
      <c r="C964" t="s">
        <v>47</v>
      </c>
      <c r="D964" t="str">
        <f>IF(E964&gt;F964,"승",IF(E964&lt;F964,"패"))</f>
        <v>패</v>
      </c>
      <c r="E964">
        <f>COUNTIF(M964:M972,"승")</f>
        <v>3</v>
      </c>
      <c r="F964">
        <f>COUNTA(M964:M972)-E964</f>
        <v>6</v>
      </c>
      <c r="G964" s="1">
        <f>E964/(E964+F964)</f>
        <v>0.33333333333333331</v>
      </c>
      <c r="I964" s="2">
        <v>1</v>
      </c>
      <c r="J964" s="2">
        <v>1</v>
      </c>
      <c r="K964" t="s">
        <v>798</v>
      </c>
      <c r="L964" t="str">
        <f t="shared" si="15"/>
        <v>T</v>
      </c>
      <c r="M964" t="s">
        <v>4</v>
      </c>
      <c r="N964" t="s">
        <v>799</v>
      </c>
      <c r="O964" t="s">
        <v>1115</v>
      </c>
    </row>
    <row r="965" spans="1:15" x14ac:dyDescent="0.6">
      <c r="I965" s="2">
        <v>2</v>
      </c>
      <c r="J965" s="2">
        <v>2</v>
      </c>
      <c r="K965" t="s">
        <v>798</v>
      </c>
      <c r="L965" t="str">
        <f t="shared" ref="L965:L971" si="18">IFERROR(INDEX($R$2:$R$99,MATCH(K965,$Q$2:$Q$99,0)),"")</f>
        <v>T</v>
      </c>
      <c r="M965" t="s">
        <v>4</v>
      </c>
      <c r="N965" t="s">
        <v>799</v>
      </c>
      <c r="O965" t="s">
        <v>1116</v>
      </c>
    </row>
    <row r="966" spans="1:15" x14ac:dyDescent="0.6">
      <c r="I966" s="2">
        <v>3</v>
      </c>
      <c r="J966" s="2">
        <v>3</v>
      </c>
      <c r="K966" t="s">
        <v>798</v>
      </c>
      <c r="L966" t="str">
        <f t="shared" si="18"/>
        <v>T</v>
      </c>
      <c r="M966" t="s">
        <v>3</v>
      </c>
      <c r="N966" t="s">
        <v>799</v>
      </c>
      <c r="O966" t="s">
        <v>1117</v>
      </c>
    </row>
    <row r="967" spans="1:15" x14ac:dyDescent="0.6">
      <c r="I967" s="2">
        <v>4</v>
      </c>
      <c r="J967" s="2">
        <v>4</v>
      </c>
      <c r="K967" t="s">
        <v>798</v>
      </c>
      <c r="L967" t="str">
        <f t="shared" si="18"/>
        <v>T</v>
      </c>
      <c r="M967" t="s">
        <v>3</v>
      </c>
      <c r="N967" t="s">
        <v>799</v>
      </c>
      <c r="O967" t="s">
        <v>1118</v>
      </c>
    </row>
    <row r="968" spans="1:15" x14ac:dyDescent="0.6">
      <c r="I968" s="2">
        <v>5</v>
      </c>
      <c r="J968" s="2">
        <v>5</v>
      </c>
      <c r="K968" t="s">
        <v>798</v>
      </c>
      <c r="L968" t="str">
        <f t="shared" si="18"/>
        <v>T</v>
      </c>
      <c r="M968" t="s">
        <v>3</v>
      </c>
      <c r="N968" t="s">
        <v>799</v>
      </c>
      <c r="O968" t="s">
        <v>1120</v>
      </c>
    </row>
    <row r="969" spans="1:15" x14ac:dyDescent="0.6">
      <c r="I969" s="2">
        <v>6</v>
      </c>
      <c r="J969" s="2">
        <v>6</v>
      </c>
      <c r="K969" t="s">
        <v>798</v>
      </c>
      <c r="L969" t="str">
        <f t="shared" si="18"/>
        <v>T</v>
      </c>
      <c r="M969" t="s">
        <v>4</v>
      </c>
      <c r="N969" t="s">
        <v>799</v>
      </c>
      <c r="O969" t="s">
        <v>1119</v>
      </c>
    </row>
    <row r="970" spans="1:15" x14ac:dyDescent="0.6">
      <c r="I970" s="2">
        <v>7</v>
      </c>
      <c r="J970" s="2">
        <v>7</v>
      </c>
      <c r="K970" t="s">
        <v>798</v>
      </c>
      <c r="L970" t="str">
        <f t="shared" si="18"/>
        <v>T</v>
      </c>
      <c r="M970" t="s">
        <v>4</v>
      </c>
      <c r="N970" t="s">
        <v>799</v>
      </c>
      <c r="O970" t="s">
        <v>1121</v>
      </c>
    </row>
    <row r="971" spans="1:15" x14ac:dyDescent="0.6">
      <c r="A971" t="s">
        <v>1122</v>
      </c>
      <c r="B971" t="s">
        <v>1123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1124</v>
      </c>
      <c r="I971" s="2">
        <v>1</v>
      </c>
      <c r="J971" s="2">
        <v>1</v>
      </c>
      <c r="K971" t="s">
        <v>1125</v>
      </c>
      <c r="L971" t="str">
        <f t="shared" si="18"/>
        <v>Z</v>
      </c>
      <c r="M971" t="s">
        <v>4</v>
      </c>
      <c r="N971" t="s">
        <v>102</v>
      </c>
      <c r="O971" t="s">
        <v>1134</v>
      </c>
    </row>
    <row r="972" spans="1:15" x14ac:dyDescent="0.6">
      <c r="I972" s="2">
        <v>2</v>
      </c>
      <c r="J972" s="2">
        <v>2</v>
      </c>
      <c r="K972" t="s">
        <v>1126</v>
      </c>
      <c r="L972" t="str">
        <f t="shared" si="15"/>
        <v>P</v>
      </c>
      <c r="M972" t="s">
        <v>4</v>
      </c>
      <c r="N972" t="s">
        <v>1130</v>
      </c>
      <c r="O972" t="s">
        <v>1135</v>
      </c>
    </row>
    <row r="973" spans="1:15" x14ac:dyDescent="0.6">
      <c r="I973" s="2">
        <v>3</v>
      </c>
      <c r="J973" s="2">
        <v>3</v>
      </c>
      <c r="K973" t="s">
        <v>1127</v>
      </c>
      <c r="L973" t="str">
        <f t="shared" si="15"/>
        <v>Z</v>
      </c>
      <c r="M973" t="s">
        <v>4</v>
      </c>
      <c r="N973" t="s">
        <v>1131</v>
      </c>
      <c r="O973" t="s">
        <v>1136</v>
      </c>
    </row>
    <row r="974" spans="1:15" x14ac:dyDescent="0.6">
      <c r="I974" s="2">
        <v>4</v>
      </c>
      <c r="J974" s="2">
        <v>4</v>
      </c>
      <c r="K974" t="s">
        <v>1128</v>
      </c>
      <c r="L974" t="str">
        <f t="shared" si="15"/>
        <v>T</v>
      </c>
      <c r="M974" t="s">
        <v>4</v>
      </c>
      <c r="N974" t="s">
        <v>1132</v>
      </c>
      <c r="O974" t="s">
        <v>1137</v>
      </c>
    </row>
    <row r="975" spans="1:15" x14ac:dyDescent="0.6">
      <c r="I975" s="2">
        <v>5</v>
      </c>
      <c r="J975" s="2">
        <v>5</v>
      </c>
      <c r="K975" t="s">
        <v>1129</v>
      </c>
      <c r="L975" t="str">
        <f t="shared" si="15"/>
        <v>P</v>
      </c>
      <c r="M975" t="s">
        <v>4</v>
      </c>
      <c r="N975" t="s">
        <v>1133</v>
      </c>
      <c r="O975" t="s">
        <v>1138</v>
      </c>
    </row>
    <row r="976" spans="1:15" x14ac:dyDescent="0.6">
      <c r="A976" t="s">
        <v>1160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COUNTIF(M976:M980,"승")</f>
        <v>1</v>
      </c>
      <c r="F976">
        <f>COUNTA(M976:M980)-E976</f>
        <v>4</v>
      </c>
      <c r="G976" s="1">
        <f>E976/(E976+F976)</f>
        <v>0.2</v>
      </c>
      <c r="H976" s="1" t="s">
        <v>144</v>
      </c>
      <c r="I976" s="2">
        <v>1</v>
      </c>
      <c r="J976" s="2" t="s">
        <v>1170</v>
      </c>
      <c r="K976" t="s">
        <v>1162</v>
      </c>
      <c r="L976" t="str">
        <f t="shared" si="15"/>
        <v>Z</v>
      </c>
      <c r="M976" t="s">
        <v>3</v>
      </c>
      <c r="N976" t="s">
        <v>1163</v>
      </c>
      <c r="O976" t="s">
        <v>1161</v>
      </c>
    </row>
    <row r="977" spans="9:15" x14ac:dyDescent="0.6">
      <c r="I977" s="2">
        <v>2</v>
      </c>
      <c r="J977" s="2">
        <v>2</v>
      </c>
      <c r="K977" t="s">
        <v>1164</v>
      </c>
      <c r="L977" t="str">
        <f t="shared" si="15"/>
        <v>Z</v>
      </c>
      <c r="M977" t="s">
        <v>4</v>
      </c>
      <c r="N977" t="s">
        <v>1165</v>
      </c>
      <c r="O977" t="s">
        <v>1171</v>
      </c>
    </row>
    <row r="978" spans="9:15" x14ac:dyDescent="0.6">
      <c r="I978" s="2">
        <v>3</v>
      </c>
      <c r="J978" s="2">
        <v>3</v>
      </c>
      <c r="K978" t="s">
        <v>1166</v>
      </c>
      <c r="L978" t="str">
        <f t="shared" si="15"/>
        <v>Z</v>
      </c>
      <c r="M978" t="s">
        <v>4</v>
      </c>
      <c r="N978" t="s">
        <v>1168</v>
      </c>
      <c r="O978" t="s">
        <v>1172</v>
      </c>
    </row>
    <row r="979" spans="9:15" x14ac:dyDescent="0.6">
      <c r="I979" s="2">
        <v>4</v>
      </c>
      <c r="J979" s="2">
        <v>4</v>
      </c>
      <c r="K979" t="s">
        <v>1167</v>
      </c>
      <c r="L979" t="str">
        <f t="shared" si="15"/>
        <v>P</v>
      </c>
      <c r="M979" t="s">
        <v>4</v>
      </c>
      <c r="N979" t="s">
        <v>1169</v>
      </c>
      <c r="O979" t="s">
        <v>1173</v>
      </c>
    </row>
    <row r="980" spans="9:15" x14ac:dyDescent="0.6">
      <c r="I980" s="2">
        <v>5</v>
      </c>
      <c r="J980" s="2" t="s">
        <v>1170</v>
      </c>
      <c r="K980" t="s">
        <v>1166</v>
      </c>
      <c r="L980" t="str">
        <f t="shared" si="15"/>
        <v>Z</v>
      </c>
      <c r="M980" t="s">
        <v>4</v>
      </c>
      <c r="N980" t="s">
        <v>1168</v>
      </c>
      <c r="O980" t="s">
        <v>1174</v>
      </c>
    </row>
    <row r="981" spans="9:15" x14ac:dyDescent="0.6">
      <c r="I981" s="2">
        <v>6</v>
      </c>
      <c r="J981" s="2">
        <v>2</v>
      </c>
      <c r="K981" t="s">
        <v>1162</v>
      </c>
      <c r="L981" t="str">
        <f t="shared" si="15"/>
        <v>Z</v>
      </c>
      <c r="M981" t="s">
        <v>3</v>
      </c>
      <c r="N981" t="s">
        <v>1163</v>
      </c>
      <c r="O981" t="s">
        <v>1175</v>
      </c>
    </row>
    <row r="982" spans="9:15" x14ac:dyDescent="0.6">
      <c r="I982" s="2">
        <v>7</v>
      </c>
      <c r="J982" s="2">
        <v>3</v>
      </c>
      <c r="K982" t="s">
        <v>1164</v>
      </c>
      <c r="L982" t="str">
        <f t="shared" si="15"/>
        <v>Z</v>
      </c>
      <c r="M982" t="s">
        <v>4</v>
      </c>
      <c r="N982" t="s">
        <v>1165</v>
      </c>
      <c r="O982" t="s">
        <v>1176</v>
      </c>
    </row>
    <row r="983" spans="9:15" x14ac:dyDescent="0.6">
      <c r="I983" s="2">
        <v>8</v>
      </c>
      <c r="J983" s="2">
        <v>4</v>
      </c>
      <c r="K983" t="s">
        <v>1167</v>
      </c>
      <c r="L983" t="str">
        <f t="shared" si="15"/>
        <v>P</v>
      </c>
      <c r="M983" t="s">
        <v>4</v>
      </c>
      <c r="N983" t="s">
        <v>1169</v>
      </c>
      <c r="O983" t="s">
        <v>1177</v>
      </c>
    </row>
    <row r="984" spans="9:15" x14ac:dyDescent="0.6">
      <c r="L984" t="str">
        <f t="shared" si="15"/>
        <v/>
      </c>
    </row>
    <row r="985" spans="9:15" x14ac:dyDescent="0.6">
      <c r="L985" t="str">
        <f t="shared" si="15"/>
        <v/>
      </c>
    </row>
    <row r="986" spans="9:15" x14ac:dyDescent="0.6">
      <c r="L986" t="str">
        <f t="shared" si="15"/>
        <v/>
      </c>
    </row>
    <row r="987" spans="9:15" x14ac:dyDescent="0.6">
      <c r="L987" t="str">
        <f t="shared" si="15"/>
        <v/>
      </c>
    </row>
    <row r="988" spans="9:15" x14ac:dyDescent="0.6">
      <c r="L988" t="str">
        <f t="shared" si="15"/>
        <v/>
      </c>
    </row>
    <row r="989" spans="9:15" x14ac:dyDescent="0.6">
      <c r="L989" t="str">
        <f t="shared" si="15"/>
        <v/>
      </c>
    </row>
    <row r="990" spans="9:15" x14ac:dyDescent="0.6">
      <c r="L990" t="str">
        <f t="shared" si="15"/>
        <v/>
      </c>
    </row>
    <row r="991" spans="9:15" x14ac:dyDescent="0.6">
      <c r="L991" t="str">
        <f t="shared" si="15"/>
        <v/>
      </c>
    </row>
    <row r="992" spans="9:15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si="15"/>
        <v/>
      </c>
    </row>
    <row r="997" spans="12:12" x14ac:dyDescent="0.6">
      <c r="L997" t="str">
        <f t="shared" ref="L997:L1060" si="19">IFERROR(INDEX($R$2:$R$99,MATCH(K997,$Q$2:$Q$99,0)),"")</f>
        <v/>
      </c>
    </row>
    <row r="998" spans="12:12" x14ac:dyDescent="0.6">
      <c r="L998" t="str">
        <f t="shared" si="19"/>
        <v/>
      </c>
    </row>
    <row r="999" spans="12:12" x14ac:dyDescent="0.6">
      <c r="L999" t="str">
        <f t="shared" si="19"/>
        <v/>
      </c>
    </row>
    <row r="1000" spans="12:12" x14ac:dyDescent="0.6">
      <c r="L1000" t="str">
        <f t="shared" si="19"/>
        <v/>
      </c>
    </row>
    <row r="1001" spans="12:12" x14ac:dyDescent="0.6">
      <c r="L1001" t="str">
        <f t="shared" si="19"/>
        <v/>
      </c>
    </row>
    <row r="1002" spans="12:12" x14ac:dyDescent="0.6">
      <c r="L1002" t="str">
        <f t="shared" si="19"/>
        <v/>
      </c>
    </row>
    <row r="1003" spans="12:12" x14ac:dyDescent="0.6">
      <c r="L1003" t="str">
        <f t="shared" si="19"/>
        <v/>
      </c>
    </row>
    <row r="1004" spans="12:12" x14ac:dyDescent="0.6">
      <c r="L1004" t="str">
        <f t="shared" si="19"/>
        <v/>
      </c>
    </row>
    <row r="1005" spans="12:12" x14ac:dyDescent="0.6">
      <c r="L1005" t="str">
        <f t="shared" si="19"/>
        <v/>
      </c>
    </row>
    <row r="1006" spans="12:12" x14ac:dyDescent="0.6">
      <c r="L1006" t="str">
        <f t="shared" si="19"/>
        <v/>
      </c>
    </row>
    <row r="1007" spans="12:12" x14ac:dyDescent="0.6">
      <c r="L1007" t="str">
        <f t="shared" si="19"/>
        <v/>
      </c>
    </row>
    <row r="1008" spans="12:12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422</v>
      </c>
    </row>
    <row r="4" spans="2:9" x14ac:dyDescent="0.6">
      <c r="B4" s="3" t="s">
        <v>1</v>
      </c>
      <c r="C4" s="3" t="s">
        <v>0</v>
      </c>
      <c r="D4" s="3" t="s">
        <v>401</v>
      </c>
      <c r="E4" s="3" t="s">
        <v>402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400</v>
      </c>
      <c r="D5" s="3" t="s">
        <v>55</v>
      </c>
      <c r="E5" s="3" t="s">
        <v>403</v>
      </c>
      <c r="F5" s="3">
        <v>2</v>
      </c>
      <c r="G5" s="3">
        <v>5</v>
      </c>
      <c r="H5" s="3" t="s">
        <v>404</v>
      </c>
      <c r="I5" s="3" t="s">
        <v>428</v>
      </c>
    </row>
    <row r="6" spans="2:9" x14ac:dyDescent="0.6">
      <c r="E6" t="s">
        <v>405</v>
      </c>
      <c r="F6" t="s">
        <v>406</v>
      </c>
      <c r="G6" t="s">
        <v>14</v>
      </c>
      <c r="H6" t="s">
        <v>407</v>
      </c>
      <c r="I6" t="s">
        <v>45</v>
      </c>
    </row>
    <row r="7" spans="2:9" x14ac:dyDescent="0.6">
      <c r="E7">
        <v>1</v>
      </c>
      <c r="F7" t="s">
        <v>408</v>
      </c>
      <c r="G7" t="s">
        <v>3</v>
      </c>
      <c r="H7" t="s">
        <v>415</v>
      </c>
      <c r="I7" t="s">
        <v>427</v>
      </c>
    </row>
    <row r="8" spans="2:9" x14ac:dyDescent="0.6">
      <c r="E8">
        <v>2</v>
      </c>
      <c r="F8" t="s">
        <v>409</v>
      </c>
      <c r="G8" t="s">
        <v>4</v>
      </c>
      <c r="H8" t="s">
        <v>416</v>
      </c>
    </row>
    <row r="9" spans="2:9" x14ac:dyDescent="0.6">
      <c r="E9">
        <v>3</v>
      </c>
      <c r="F9" t="s">
        <v>410</v>
      </c>
      <c r="G9" t="s">
        <v>4</v>
      </c>
      <c r="H9" t="s">
        <v>417</v>
      </c>
    </row>
    <row r="10" spans="2:9" x14ac:dyDescent="0.6">
      <c r="E10">
        <v>4</v>
      </c>
      <c r="F10" t="s">
        <v>411</v>
      </c>
      <c r="G10" t="s">
        <v>4</v>
      </c>
      <c r="H10" t="s">
        <v>418</v>
      </c>
    </row>
    <row r="11" spans="2:9" x14ac:dyDescent="0.6">
      <c r="E11">
        <v>5</v>
      </c>
      <c r="F11" t="s">
        <v>412</v>
      </c>
      <c r="G11" t="s">
        <v>4</v>
      </c>
      <c r="H11" t="s">
        <v>419</v>
      </c>
    </row>
    <row r="12" spans="2:9" x14ac:dyDescent="0.6">
      <c r="E12">
        <v>6</v>
      </c>
      <c r="F12" t="s">
        <v>413</v>
      </c>
      <c r="G12" t="s">
        <v>3</v>
      </c>
      <c r="H12" t="s">
        <v>420</v>
      </c>
    </row>
    <row r="13" spans="2:9" x14ac:dyDescent="0.6">
      <c r="E13">
        <v>7</v>
      </c>
      <c r="F13" t="s">
        <v>414</v>
      </c>
      <c r="G13" t="s">
        <v>4</v>
      </c>
      <c r="H13" t="s">
        <v>421</v>
      </c>
    </row>
    <row r="19" spans="2:9" x14ac:dyDescent="0.6">
      <c r="B19" t="s">
        <v>423</v>
      </c>
    </row>
    <row r="20" spans="2:9" x14ac:dyDescent="0.6">
      <c r="B20" t="s">
        <v>8</v>
      </c>
      <c r="C20" t="s">
        <v>66</v>
      </c>
      <c r="D20" t="s">
        <v>18</v>
      </c>
      <c r="E20" t="s">
        <v>458</v>
      </c>
    </row>
    <row r="24" spans="2:9" x14ac:dyDescent="0.6">
      <c r="B24" t="s">
        <v>8</v>
      </c>
      <c r="C24" t="s">
        <v>456</v>
      </c>
    </row>
    <row r="25" spans="2:9" x14ac:dyDescent="0.6">
      <c r="B25" t="s">
        <v>424</v>
      </c>
      <c r="C25" t="s">
        <v>425</v>
      </c>
    </row>
    <row r="26" spans="2:9" x14ac:dyDescent="0.6">
      <c r="B26" t="s">
        <v>55</v>
      </c>
      <c r="C26" t="s">
        <v>425</v>
      </c>
    </row>
    <row r="27" spans="2:9" x14ac:dyDescent="0.6">
      <c r="B27" t="s">
        <v>94</v>
      </c>
      <c r="C27" t="s">
        <v>425</v>
      </c>
    </row>
    <row r="28" spans="2:9" x14ac:dyDescent="0.6">
      <c r="B28" s="4">
        <v>46053</v>
      </c>
      <c r="C28" s="3" t="s">
        <v>400</v>
      </c>
      <c r="D28" s="3" t="s">
        <v>55</v>
      </c>
      <c r="E28" t="s">
        <v>8</v>
      </c>
      <c r="F28" t="s">
        <v>431</v>
      </c>
      <c r="G28" t="s">
        <v>3</v>
      </c>
      <c r="H28" t="s">
        <v>426</v>
      </c>
      <c r="I28" t="s">
        <v>457</v>
      </c>
    </row>
    <row r="29" spans="2:9" x14ac:dyDescent="0.6">
      <c r="B29" s="4">
        <v>46052</v>
      </c>
      <c r="C29" s="3" t="s">
        <v>400</v>
      </c>
      <c r="D29" s="3" t="s">
        <v>55</v>
      </c>
      <c r="E29" t="s">
        <v>8</v>
      </c>
      <c r="F29" t="s">
        <v>431</v>
      </c>
      <c r="G29" t="s">
        <v>4</v>
      </c>
      <c r="H29" t="s">
        <v>426</v>
      </c>
    </row>
    <row r="30" spans="2:9" x14ac:dyDescent="0.6">
      <c r="B30" s="4">
        <v>46051</v>
      </c>
      <c r="C30" s="3" t="s">
        <v>400</v>
      </c>
      <c r="D30" s="3" t="s">
        <v>94</v>
      </c>
      <c r="E30" t="s">
        <v>8</v>
      </c>
      <c r="F30" t="s">
        <v>431</v>
      </c>
      <c r="G30" t="s">
        <v>3</v>
      </c>
      <c r="H30" t="s">
        <v>426</v>
      </c>
    </row>
    <row r="31" spans="2:9" x14ac:dyDescent="0.6">
      <c r="B31" s="4">
        <v>46050</v>
      </c>
      <c r="C31" s="3" t="s">
        <v>400</v>
      </c>
      <c r="D31" s="3" t="s">
        <v>55</v>
      </c>
      <c r="E31" t="s">
        <v>8</v>
      </c>
      <c r="F31" t="s">
        <v>431</v>
      </c>
      <c r="G31" t="s">
        <v>3</v>
      </c>
      <c r="H31" t="s">
        <v>426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2026-06-01T11:54:17Z</dcterms:modified>
</cp:coreProperties>
</file>