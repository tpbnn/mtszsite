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A421EBF9-5F0B-4589-B82B-611CF594FAD3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6" i="1" l="1"/>
  <c r="E1026" i="1"/>
  <c r="L1033" i="1"/>
  <c r="L1032" i="1"/>
  <c r="L1031" i="1"/>
  <c r="L1030" i="1"/>
  <c r="L1029" i="1"/>
  <c r="L1028" i="1"/>
  <c r="L1027" i="1"/>
  <c r="L1026" i="1"/>
  <c r="F1019" i="1"/>
  <c r="E1019" i="1"/>
  <c r="L1025" i="1"/>
  <c r="L1024" i="1"/>
  <c r="F1014" i="1"/>
  <c r="E1014" i="1"/>
  <c r="F1006" i="1"/>
  <c r="E1006" i="1"/>
  <c r="G1026" i="1" l="1"/>
  <c r="G1019" i="1"/>
  <c r="G1014" i="1"/>
  <c r="L1013" i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26" i="1" l="1"/>
  <c r="D1019" i="1"/>
  <c r="D1014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<sst xmlns="http://schemas.openxmlformats.org/spreadsheetml/2006/main" count="4895" uniqueCount="1496">
  <si>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</si>
  <si>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</si>
  <si>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</si>
  <si>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</si>
  <si>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</si>
  <si>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</si>
  <si>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</si>
  <si>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</si>
  <si>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</si>
  <si>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</si>
  <si>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</si>
  <si>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</si>
  <si>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</si>
  <si>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</si>
  <si>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</si>
  <si>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</si>
  <si>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</si>
  <si>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</si>
  <si>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</si>
  <si>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</si>
  <si>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</si>
  <si>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</si>
  <si>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</si>
  <si>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</si>
  <si>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</si>
  <si>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</si>
  <si>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</si>
  <si>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</si>
  <si>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</si>
  <si>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</si>
  <si>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</si>
  <si>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</si>
  <si>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</si>
  <si>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</si>
  <si>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</si>
  <si>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</si>
  <si>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</si>
  <si>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</si>
  <si>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</si>
  <si>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</si>
  <si>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</si>
  <si>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</si>
  <si>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</si>
  <si>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</si>
  <si>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</si>
  <si>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</si>
  <si>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</si>
  <si>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</si>
  <si>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</si>
  <si>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</si>
  <si>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</si>
  <si>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</si>
  <si>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</si>
  <si>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</si>
  <si>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</si>
  <si>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</si>
  <si>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</si>
  <si>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</si>
  <si>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</si>
  <si>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</si>
  <si>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</si>
  <si>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</si>
  <si>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</si>
  <si>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</si>
  <si>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</si>
  <si>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</si>
  <si>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</si>
  <si>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</si>
  <si>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</si>
  <si>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</si>
  <si>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</si>
  <si>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</si>
  <si>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</si>
  <si>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</si>
  <si>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</si>
  <si>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</si>
  <si>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</si>
  <si>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</si>
  <si>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</si>
  <si>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</si>
  <si>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</si>
  <si>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</si>
  <si>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</si>
  <si>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</si>
  <si>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</si>
  <si>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</si>
  <si>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</si>
  <si>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</si>
  <si>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</si>
  <si>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</si>
  <si>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</si>
  <si>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</si>
  <si>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</si>
  <si>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</si>
  <si>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</si>
  <si>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</si>
  <si>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</si>
  <si>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</si>
  <si>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</si>
  <si>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</si>
  <si>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</si>
  <si>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</si>
  <si>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</si>
  <si>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</si>
  <si>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</si>
  <si>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</si>
  <si>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</si>
  <si>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</si>
  <si>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</si>
  <si>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</si>
  <si>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</si>
  <si>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</si>
  <si>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</si>
  <si>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</si>
  <si>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</si>
  <si>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</si>
  <si>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</si>
  <si>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</si>
  <si>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</si>
  <si>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</si>
  <si>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</si>
  <si>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</si>
  <si>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</si>
  <si>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</si>
  <si>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</si>
  <si>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</si>
  <si>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</si>
  <si>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</si>
  <si>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</si>
  <si>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</si>
  <si>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</si>
  <si>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</si>
  <si>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</si>
  <si>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</si>
  <si>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</si>
  <si>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</si>
  <si>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</si>
  <si>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</si>
  <si>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</si>
  <si>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</si>
  <si>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</si>
  <si>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</si>
  <si>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</si>
  <si>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</si>
  <si>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</si>
  <si>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</si>
  <si>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</si>
  <si>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</si>
  <si>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</si>
  <si>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</si>
  <si>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</si>
  <si>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</si>
  <si>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</si>
  <si>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</si>
  <si>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</si>
  <si>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</si>
  <si>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</si>
  <si>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</si>
  <si>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</si>
  <si>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</si>
  <si>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</si>
  <si>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</si>
  <si>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</si>
  <si>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</si>
  <si>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</si>
  <si>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</si>
  <si>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</si>
  <si>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</si>
  <si>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</si>
  <si>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</si>
  <si>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</si>
  <si>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</si>
  <si>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</si>
  <si>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</si>
  <si>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</si>
  <si>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</si>
  <si>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</si>
  <si>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</si>
  <si>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</si>
  <si>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</si>
  <si>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</si>
  <si>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</si>
  <si>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</si>
  <si>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</si>
  <si>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</si>
  <si>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</si>
  <si>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</si>
  <si>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</si>
  <si>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</si>
  <si>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</si>
  <si>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</si>
  <si>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</si>
  <si>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</si>
  <si>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</si>
  <si>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</si>
  <si>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</si>
  <si>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</si>
  <si>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</si>
  <si>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</si>
  <si>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</si>
  <si>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</si>
  <si>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</si>
  <si>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</si>
  <si>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</si>
  <si>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</si>
  <si>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</si>
  <si>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</si>
  <si>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</si>
  <si>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</si>
  <si>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</si>
  <si>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</si>
  <si>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</si>
  <si>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</si>
  <si>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</si>
  <si>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</si>
  <si>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</si>
  <si>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</si>
  <si>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</si>
  <si>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</si>
  <si>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</si>
  <si>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</si>
  <si>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</si>
  <si>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</si>
  <si>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</si>
  <si>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</si>
  <si>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</si>
  <si>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</si>
  <si>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</si>
  <si>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</si>
  <si>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</si>
  <si>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</si>
  <si>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</si>
  <si>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</si>
  <si>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</si>
  <si>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</si>
  <si>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</si>
  <si>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</si>
  <si>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</si>
  <si>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</si>
  <si>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</si>
  <si>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</si>
  <si>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</si>
  <si>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</si>
  <si>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</si>
  <si>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</si>
  <si>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</si>
  <si>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</si>
  <si>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</si>
  <si>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</si>
  <si>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</si>
  <si>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</si>
  <si>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</si>
  <si>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</si>
  <si>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</si>
  <si>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</si>
  <si>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</si>
  <si>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</si>
  <si>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</si>
  <si>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</si>
  <si>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</si>
  <si>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</si>
  <si>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</si>
  <si>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</si>
  <si>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</si>
  <si>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</si>
  <si>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</si>
  <si>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</si>
  <si>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</si>
  <si>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</si>
  <si>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</si>
  <si>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</si>
  <si>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</si>
  <si>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</si>
  <si>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</si>
  <si>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</si>
  <si>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</si>
  <si>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</si>
  <si>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</si>
  <si>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</si>
  <si>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</si>
  <si>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</si>
  <si>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</si>
  <si>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</si>
  <si>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</si>
  <si>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</si>
  <si>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</si>
  <si>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</si>
  <si>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</si>
  <si>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</si>
  <si>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</si>
  <si>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</si>
  <si>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</si>
  <si>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</si>
  <si>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</si>
  <si>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</si>
  <si>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</si>
  <si>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</si>
  <si>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</si>
  <si>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</si>
  <si>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</si>
  <si>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</si>
  <si>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</si>
  <si>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</si>
  <si>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</si>
  <si>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</si>
  <si>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</si>
  <si>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</si>
  <si>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</si>
  <si>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</si>
  <si>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</si>
  <si>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</si>
  <si>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</si>
  <si>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</si>
  <si>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</si>
  <si>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</si>
  <si>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</si>
  <si>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</si>
  <si>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</si>
  <si>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</si>
  <si>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</si>
  <si>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</si>
  <si>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</si>
  <si>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</si>
  <si>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</si>
  <si>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</si>
  <si>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</si>
  <si>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</si>
  <si>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</si>
  <si>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</si>
  <si>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</si>
  <si>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</si>
  <si>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</si>
  <si>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</si>
  <si>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</si>
  <si>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</si>
  <si>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</si>
  <si>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</si>
  <si>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</si>
  <si>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</si>
  <si>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</si>
  <si>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</si>
  <si>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</si>
  <si>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</si>
  <si>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</si>
  <si>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</si>
  <si>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</si>
  <si>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</si>
  <si>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</si>
  <si>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</si>
  <si>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</si>
  <si>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</si>
  <si>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</si>
  <si>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</si>
  <si>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</si>
  <si>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</si>
  <si>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</si>
  <si>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</si>
  <si>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</si>
  <si>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</si>
  <si>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</si>
  <si>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</si>
  <si>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</si>
  <si>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</si>
  <si>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</si>
  <si>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</si>
  <si>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</si>
  <si>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</si>
  <si>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</si>
  <si>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</si>
  <si>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</si>
  <si>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</si>
  <si>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</si>
  <si>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</si>
  <si>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</si>
  <si>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</si>
  <si>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</si>
  <si>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</si>
  <si>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</si>
  <si>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</si>
  <si>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</si>
  <si>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</si>
  <si>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</si>
  <si>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</si>
  <si>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</si>
  <si>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</si>
  <si>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</si>
  <si>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</si>
  <si>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</si>
  <si>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</si>
  <si>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</si>
  <si>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</si>
  <si>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</si>
  <si>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</si>
  <si>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</si>
  <si>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</si>
  <si>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</si>
  <si>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</si>
  <si>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</si>
  <si>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</si>
  <si>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</si>
  <si>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</si>
  <si>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</si>
  <si>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</si>
  <si>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</si>
  <si>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</si>
  <si>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</si>
  <si>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</si>
  <si>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</si>
  <si>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</si>
  <si>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</si>
  <si>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</si>
  <si>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</si>
  <si>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</si>
  <si>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</si>
  <si>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</si>
  <si>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</si>
  <si>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</si>
  <si>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</si>
  <si>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</si>
  <si>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</si>
  <si>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</si>
  <si>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</si>
  <si>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</si>
  <si>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</si>
  <si>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</si>
  <si>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</si>
  <si>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</si>
  <si>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</si>
  <si>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</si>
  <si>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</si>
  <si>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</si>
  <si>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</si>
  <si>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</si>
  <si>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</si>
  <si>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</si>
  <si>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</si>
  <si>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</si>
  <si>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</si>
  <si>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</si>
  <si>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</si>
  <si>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</si>
  <si>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</si>
  <si>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</si>
  <si>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</si>
  <si>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</si>
  <si>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</si>
  <si>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</si>
  <si>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</si>
  <si>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</si>
  <si>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</si>
  <si>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</si>
  <si>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</si>
  <si>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</si>
  <si>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</si>
  <si>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</si>
  <si>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</si>
  <si>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</si>
  <si>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</si>
  <si>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</si>
  <si>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</si>
  <si>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</si>
  <si>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</si>
  <si>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</si>
  <si>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</si>
  <si>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</si>
  <si>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</si>
  <si>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</si>
  <si>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</si>
  <si>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</si>
  <si>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</si>
  <si>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</si>
  <si>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</si>
  <si>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</si>
  <si>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</si>
  <si>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</si>
  <si>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</si>
  <si>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</si>
  <si>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</si>
  <si>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</si>
  <si>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</si>
  <si>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</si>
  <si>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</si>
  <si>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</si>
  <si>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</si>
  <si>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</si>
  <si>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</si>
  <si>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</si>
  <si>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</si>
  <si>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</si>
  <si>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</si>
  <si>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</si>
  <si>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</si>
  <si>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</si>
  <si>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</si>
  <si>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</si>
  <si>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</si>
  <si>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</si>
  <si>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</si>
  <si>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</si>
  <si>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</si>
  <si>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</si>
  <si>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</si>
  <si>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</si>
  <si>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</si>
  <si>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</si>
  <si>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</si>
  <si>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</si>
  <si>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</si>
  <si>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</si>
  <si>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</si>
  <si>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</si>
  <si>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</si>
  <si>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</si>
  <si>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</si>
  <si>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</si>
  <si>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</si>
  <si>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</si>
  <si>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</si>
  <si>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</si>
  <si>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</si>
  <si>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</si>
  <si>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</si>
  <si>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</si>
  <si>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</si>
  <si>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</si>
  <si>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</si>
  <si>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</si>
  <si>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</si>
  <si>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</si>
  <si>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</si>
  <si>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</si>
  <si>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</si>
  <si>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</si>
  <si>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</si>
  <si>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</si>
  <si>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</si>
  <si>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</si>
  <si>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</si>
  <si>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</si>
  <si>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</si>
  <si>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</si>
  <si>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</si>
  <si>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</si>
  <si>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</si>
  <si>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</si>
  <si>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</si>
  <si>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</si>
  <si>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</si>
  <si>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</si>
  <si>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</si>
  <si>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</si>
  <si>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</si>
  <si>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</si>
  <si>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</si>
  <si>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</si>
  <si>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</si>
  <si>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</si>
  <si>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</si>
  <si>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</si>
  <si>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</si>
  <si>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</si>
  <si>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</si>
  <si>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</si>
  <si>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</si>
  <si>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</si>
  <si>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</si>
  <si>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</si>
  <si>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</si>
  <si>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</si>
  <si>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</si>
  <si>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</si>
  <si>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</si>
  <si>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</si>
  <si>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</si>
  <si>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</si>
  <si>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</si>
  <si>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</si>
  <si>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</si>
  <si>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</si>
  <si>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</si>
  <si>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</si>
  <si>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</si>
  <si>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</si>
  <si>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</si>
  <si>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</si>
  <si>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</si>
  <si>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</si>
  <si>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</si>
  <si>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</si>
  <si>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</si>
  <si>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</si>
  <si>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</si>
  <si>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</si>
  <si>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</si>
  <si>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</si>
  <si>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</si>
  <si>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</si>
  <si>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</si>
  <si>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</si>
  <si>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</si>
  <si>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</si>
  <si>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</si>
  <si>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</si>
  <si>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</si>
  <si>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</si>
  <si>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</si>
  <si>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</si>
  <si>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</si>
  <si>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</si>
  <si>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</si>
  <si>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</si>
  <si>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</si>
  <si>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</si>
  <si>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</si>
  <si>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</si>
  <si>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</si>
  <si>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</si>
  <si>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</si>
  <si>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</si>
  <si>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</si>
  <si>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</si>
  <si>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</si>
  <si>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</si>
  <si>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</si>
  <si>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</si>
  <si>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</si>
  <si>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</si>
  <si>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</si>
  <si>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</si>
  <si>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</si>
  <si>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</si>
  <si>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</si>
  <si>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</si>
  <si>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</si>
  <si>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</si>
  <si>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</si>
  <si>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</si>
  <si>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</si>
  <si>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</si>
  <si>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</si>
  <si>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</si>
  <si>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</si>
  <si>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</si>
  <si>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</si>
  <si>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</si>
  <si>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</si>
  <si>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</si>
  <si>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</si>
  <si>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</si>
  <si>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</si>
  <si>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</si>
  <si>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</si>
  <si>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</si>
  <si>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</si>
  <si>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</si>
  <si>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</si>
  <si>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</si>
  <si>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</si>
  <si>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</si>
  <si>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</si>
  <si>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</si>
  <si>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</si>
  <si>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</si>
  <si>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</si>
  <si>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</si>
  <si>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</si>
  <si>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</si>
  <si>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</si>
  <si>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</si>
  <si>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</si>
  <si>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</si>
  <si>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</si>
  <si>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</si>
  <si>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</si>
  <si>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</si>
  <si>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</si>
  <si>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</si>
  <si>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</si>
  <si>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</si>
  <si>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</si>
  <si>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</si>
  <si>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</si>
  <si>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</si>
  <si>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</si>
  <si>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</si>
  <si>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</si>
  <si>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</si>
  <si>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</si>
  <si>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</si>
  <si>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</si>
  <si>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</si>
  <si>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</si>
  <si>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</si>
  <si>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</si>
  <si>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</si>
  <si>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</si>
  <si>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</si>
  <si>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</si>
  <si>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</si>
  <si>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</si>
  <si>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</si>
  <si>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</si>
  <si>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</si>
  <si>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</si>
  <si>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</si>
  <si>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</si>
  <si>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</si>
  <si>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</si>
  <si>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</si>
  <si>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</si>
  <si>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</si>
  <si>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</si>
  <si>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</si>
  <si>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</si>
  <si>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</si>
  <si>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</si>
  <si>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</si>
  <si>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</si>
  <si>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</si>
  <si>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</si>
  <si>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</si>
  <si>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</si>
  <si>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</si>
  <si>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</si>
  <si>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</si>
  <si>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</si>
  <si>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</si>
  <si>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</si>
  <si>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</si>
  <si>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</si>
  <si>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</si>
  <si>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</si>
  <si>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</si>
  <si>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</si>
  <si>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</si>
  <si>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</si>
  <si>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</si>
  <si>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</si>
  <si>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</si>
  <si>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</si>
  <si>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</si>
  <si>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</si>
  <si>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</si>
  <si>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</si>
  <si>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</si>
  <si>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</si>
  <si>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</si>
  <si>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</si>
  <si>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</si>
  <si>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</si>
  <si>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</si>
  <si>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</si>
  <si>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</si>
  <si>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</si>
  <si>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</si>
  <si>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</si>
  <si>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</si>
  <si>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</si>
  <si>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</si>
  <si>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</si>
  <si>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</si>
  <si>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</si>
  <si>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</si>
  <si>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</si>
  <si>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</si>
  <si>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</si>
  <si>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</si>
  <si>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</si>
  <si>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</si>
  <si>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</si>
  <si>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</si>
  <si>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</si>
  <si>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</si>
  <si>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</si>
  <si>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</si>
  <si>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</si>
  <si>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</si>
  <si>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</si>
  <si>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</si>
  <si>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</si>
  <si>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</si>
  <si>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</si>
  <si>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</si>
  <si>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</si>
  <si>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</si>
  <si>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</si>
  <si>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</si>
  <si>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</si>
  <si>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</si>
  <si>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</si>
  <si>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</si>
  <si>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</si>
  <si>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</si>
  <si>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</si>
  <si>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</si>
  <si>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</si>
  <si>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</si>
  <si>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</si>
  <si>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</si>
  <si>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</si>
  <si>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</si>
  <si>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</si>
  <si>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</si>
  <si>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</si>
  <si>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</si>
  <si>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</si>
  <si>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</si>
  <si>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</si>
  <si>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</si>
  <si>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</si>
  <si>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</si>
  <si>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</si>
  <si>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</si>
  <si>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</si>
  <si>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</si>
  <si>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</si>
  <si>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</si>
  <si>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</si>
  <si>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</si>
  <si>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</si>
  <si>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</si>
  <si>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</si>
  <si>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</si>
  <si>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</si>
  <si>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</si>
  <si>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</si>
  <si>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</si>
  <si>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</si>
  <si>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</si>
  <si>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</si>
  <si>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</si>
  <si>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</si>
  <si>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</si>
  <si>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</si>
  <si>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</si>
  <si>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</si>
  <si>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</si>
  <si>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</si>
  <si>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</si>
  <si>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</si>
  <si>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</si>
  <si>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</si>
  <si>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</si>
  <si>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</si>
  <si>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</si>
  <si>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</si>
  <si>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</si>
  <si>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</si>
  <si>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</si>
  <si>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</si>
  <si>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</si>
  <si>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</si>
  <si>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</si>
  <si>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</si>
  <si>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</si>
  <si>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</si>
  <si>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</si>
  <si>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</si>
  <si>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</si>
  <si>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</si>
  <si>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</si>
  <si>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</si>
  <si>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</si>
  <si>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</si>
  <si>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</si>
  <si>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</si>
  <si>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</si>
  <si>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</si>
  <si>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</si>
  <si>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</si>
  <si>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</si>
  <si>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</si>
  <si>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</si>
  <si>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</si>
  <si>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</si>
  <si>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</si>
  <si>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</si>
  <si>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</si>
  <si>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</si>
  <si>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</si>
  <si>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</si>
  <si>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</si>
  <si>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</si>
  <si>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</si>
  <si>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</si>
  <si>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</si>
  <si>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</si>
  <si>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</si>
  <si>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</si>
  <si>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</si>
  <si>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</si>
  <si>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</si>
  <si>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</si>
  <si>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</si>
  <si>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</si>
  <si>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</si>
  <si>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</si>
  <si>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</si>
  <si>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</si>
  <si>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</si>
  <si>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</si>
  <si>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</si>
  <si>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</si>
  <si>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</si>
  <si>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</si>
  <si>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</si>
  <si>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</si>
  <si>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</si>
  <si>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</si>
  <si>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</si>
  <si>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</si>
  <si>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</si>
  <si>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</si>
  <si>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</si>
  <si>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</si>
  <si>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</si>
  <si>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</si>
  <si>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</si>
  <si>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</si>
  <si>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</si>
  <si>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</si>
  <si>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</si>
  <si>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</si>
  <si>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</si>
  <si>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</si>
  <si>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</si>
  <si>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</si>
  <si>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</si>
  <si>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</si>
  <si>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</si>
  <si>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</si>
  <si>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</si>
  <si>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</si>
  <si>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</si>
  <si>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</si>
  <si>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</si>
  <si>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</si>
  <si>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</si>
  <si>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</si>
  <si>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</si>
  <si>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</si>
  <si>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</si>
  <si>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</si>
  <si>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</si>
  <si>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</si>
  <si>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</si>
  <si>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</si>
  <si>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</si>
  <si>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</si>
  <si>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</si>
  <si>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</si>
  <si>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</si>
  <si>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</si>
  <si>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</si>
  <si>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</si>
  <si>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</si>
  <si>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</si>
  <si>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</si>
  <si>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</si>
  <si>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</si>
  <si>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</si>
  <si>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</si>
  <si>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</si>
  <si>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</si>
  <si>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</si>
  <si>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</si>
  <si>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</si>
  <si>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</si>
  <si>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</si>
  <si>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</si>
  <si>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</si>
  <si>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</si>
  <si>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</si>
  <si>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</si>
  <si>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</si>
  <si>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</si>
  <si>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</si>
  <si>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</si>
  <si>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</si>
  <si>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</si>
  <si>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</si>
  <si>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</si>
  <si>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</si>
  <si>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</si>
  <si>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</si>
  <si>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</si>
  <si>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</si>
  <si>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</si>
  <si>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</si>
  <si>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</si>
  <si>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</si>
  <si>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</si>
  <si>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</si>
  <si>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</si>
  <si>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</si>
  <si>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</si>
  <si>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</si>
  <si>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</si>
  <si>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</si>
  <si>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</si>
  <si>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</si>
  <si>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</si>
  <si>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</si>
  <si>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</si>
  <si>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</si>
  <si>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</si>
  <si>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</si>
  <si>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</si>
  <si>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</si>
  <si>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</si>
  <si>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</si>
  <si>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</si>
  <si>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</si>
  <si>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</si>
  <si>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</si>
  <si>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</si>
  <si>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</si>
  <si>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</si>
  <si>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</si>
  <si>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</si>
  <si>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</si>
  <si>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</si>
  <si>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</si>
  <si>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</si>
  <si>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</si>
  <si>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</si>
  <si>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</si>
  <si>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</si>
  <si>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</si>
  <si>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</si>
  <si>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</si>
  <si>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</si>
  <si>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</si>
  <si>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</si>
  <si>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</si>
  <si>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</si>
  <si>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</si>
  <si>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</si>
  <si>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</si>
  <si>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</si>
  <si>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</si>
  <si>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</si>
  <si>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</si>
  <si>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</si>
  <si>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</si>
  <si>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</si>
  <si>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</si>
  <si>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</si>
  <si>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</si>
  <si>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</si>
  <si>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</si>
  <si>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</si>
  <si>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</si>
  <si>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</si>
  <si>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</si>
  <si>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</si>
  <si>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</si>
  <si>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</si>
  <si>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</si>
  <si>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</si>
  <si>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</si>
  <si>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</si>
  <si>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</si>
  <si>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</si>
  <si>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</si>
  <si>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</si>
  <si>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</si>
  <si>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</si>
  <si>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</si>
  <si>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</si>
  <si>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</si>
  <si>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</si>
  <si>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</si>
  <si>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</si>
  <si>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</si>
  <si>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</si>
  <si>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</si>
  <si>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</si>
  <si>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</si>
  <si>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</si>
  <si>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</si>
  <si>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</si>
  <si>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</si>
  <si>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</si>
  <si>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</si>
  <si>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</si>
  <si>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</si>
  <si>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</si>
  <si>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</si>
  <si>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</si>
  <si>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</si>
  <si>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</si>
  <si>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</si>
  <si>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</si>
  <si>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</si>
  <si>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</si>
  <si>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</si>
  <si>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</si>
  <si>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</si>
  <si>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</si>
  <si>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</si>
  <si>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</si>
  <si>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</si>
  <si>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</si>
  <si>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</si>
  <si>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</si>
  <si>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</si>
  <si>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</si>
  <si>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</si>
  <si>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</si>
  <si>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</si>
  <si>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</si>
  <si>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</si>
  <si>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</si>
  <si>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</si>
  <si>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</si>
  <si>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</si>
  <si>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</si>
  <si>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</si>
  <si>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</si>
  <si>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</si>
  <si>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</si>
  <si>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</si>
  <si>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</si>
  <si>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</si>
  <si>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</si>
  <si>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</si>
  <si>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</si>
  <si>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</si>
  <si>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</si>
  <si>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</si>
  <si>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</si>
  <si>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</si>
  <si>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</si>
  <si>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</si>
  <si>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</si>
  <si>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</si>
  <si>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</si>
  <si>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</si>
  <si>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</si>
  <si>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</si>
  <si>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</si>
  <si>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</si>
  <si>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</si>
  <si>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</si>
  <si>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</si>
  <si>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</si>
  <si>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</si>
  <si>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</si>
  <si>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</si>
  <si>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</si>
  <si>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</si>
  <si>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</si>
  <si>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</si>
  <si>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</si>
  <si>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</si>
  <si>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</si>
  <si>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</si>
  <si>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</si>
  <si>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</si>
  <si>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</si>
  <si>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</si>
  <si>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</si>
  <si>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</si>
  <si>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</si>
  <si>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</si>
  <si>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</si>
  <si>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</si>
  <si>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</si>
  <si>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</si>
  <si>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</si>
  <si>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</si>
  <si>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</si>
  <si>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</si>
  <si>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</si>
  <si>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</si>
  <si>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</si>
  <si>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</si>
  <si>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</si>
  <si>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</si>
  <si>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</si>
  <si>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</si>
  <si>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</si>
  <si>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</si>
  <si>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</si>
  <si>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</si>
  <si>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</si>
  <si>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</si>
  <si>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</si>
  <si>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</si>
  <si>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</si>
  <si>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</si>
  <si>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</si>
  <si>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</si>
  <si>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</si>
  <si>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</si>
  <si>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</si>
  <si>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</si>
  <si>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</si>
  <si>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</si>
  <si>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</si>
  <si>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</si>
  <si>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</si>
  <si>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</si>
  <si>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</si>
  <si>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</si>
  <si>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</si>
  <si>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</si>
  <si>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</si>
  <si>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</si>
  <si>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</si>
  <si>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</si>
  <si>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</si>
  <si>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</si>
  <si>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</si>
  <si>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</si>
  <si>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</si>
  <si>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</si>
  <si>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</si>
  <si>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</si>
  <si>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</si>
  <si>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</si>
  <si>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</si>
  <si>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</si>
  <si>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</si>
  <si>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</si>
  <si>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</si>
  <si>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</si>
  <si>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</si>
  <si>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</si>
  <si>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</si>
  <si>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</si>
  <si>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</si>
  <si>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</si>
  <si>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</si>
  <si>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</si>
  <si>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</si>
  <si>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</si>
  <si>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</si>
  <si>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</si>
  <si>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</si>
  <si>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</si>
  <si>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</si>
  <si>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</si>
  <si>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</si>
  <si>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</si>
  <si>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</si>
  <si>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</si>
  <si>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</si>
  <si>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</si>
  <si>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</si>
  <si>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</si>
  <si>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</si>
  <si>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</si>
  <si>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</si>
  <si>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</si>
  <si>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</si>
  <si>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</si>
  <si>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</si>
  <si>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</si>
  <si>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</si>
  <si>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</si>
  <si>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</si>
  <si>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</si>
  <si>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</si>
  <si>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</si>
  <si>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</si>
  <si>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</si>
  <si>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</si>
  <si>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</si>
  <si>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</si>
  <si>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</si>
  <si>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</si>
  <si>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</si>
  <si>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</si>
  <si>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</si>
  <si>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</si>
  <si>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</si>
  <si>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</si>
  <si>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</si>
  <si>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</si>
  <si>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</si>
  <si>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</si>
  <si>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</si>
  <si>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</si>
  <si>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</si>
  <si>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</si>
  <si>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</si>
  <si>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</si>
  <si>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</si>
  <si>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</si>
  <si>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</si>
  <si>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</si>
  <si>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</si>
  <si>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</si>
  <si>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</si>
  <si>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</si>
  <si>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</si>
  <si>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</si>
  <si>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</si>
  <si>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</si>
  <si>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</si>
  <si>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</si>
  <si>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</si>
  <si>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</si>
  <si>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</si>
  <si>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</si>
  <si>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</si>
  <si>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</si>
  <si>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</si>
  <si>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</si>
  <si>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</si>
  <si>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</si>
  <si>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</si>
  <si>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</si>
  <si>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</si>
  <si>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</si>
  <si>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</si>
  <si>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</si>
  <si>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</si>
  <si>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</si>
  <si>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</si>
  <si>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</si>
  <si>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</si>
  <si>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</si>
  <si>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</si>
  <si>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</si>
  <si>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</si>
  <si>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</si>
  <si>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</si>
  <si>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</si>
  <si>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</si>
  <si>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</si>
  <si>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</si>
  <si>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</si>
  <si>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</si>
  <si>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</si>
  <si>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</si>
  <si>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</si>
  <si>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</si>
  <si>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</si>
  <si>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</si>
  <si>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</si>
  <si>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</si>
  <si>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</si>
  <si>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</si>
  <si>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</si>
  <si>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</si>
  <si>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</si>
  <si>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</si>
  <si>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</si>
  <si>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</si>
  <si>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</si>
  <si>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</si>
  <si>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</si>
  <si>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</si>
  <si>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</si>
  <si>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</si>
  <si>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</si>
  <si>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</si>
  <si>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</si>
  <si>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</si>
  <si>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</si>
  <si>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</si>
  <si>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</si>
  <si>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</si>
  <si>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</si>
  <si>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</si>
  <si>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</si>
  <si>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</si>
  <si>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</si>
  <si>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</si>
  <si>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</si>
  <si>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</si>
  <si>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</si>
  <si>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</si>
  <si>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</si>
  <si>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</si>
  <si>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</si>
  <si>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</si>
  <si>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</si>
  <si>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</si>
  <si>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</si>
  <si>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</si>
  <si>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</si>
  <si>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</si>
  <si>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</si>
  <si>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</si>
  <si>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</si>
  <si>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</si>
  <si>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</si>
  <si>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</si>
  <si>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</si>
  <si>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</si>
  <si>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</si>
  <si>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</si>
  <si>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</si>
  <si>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</si>
  <si>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</si>
  <si>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</si>
  <si>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</si>
  <si>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</si>
  <si>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</si>
  <si>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</si>
  <si>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</si>
  <si>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</si>
  <si>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</si>
  <si>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</si>
  <si>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</si>
  <si>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</si>
  <si>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</si>
  <si>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</si>
  <si>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</si>
  <si>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</si>
  <si>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</si>
  <si>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</si>
  <si>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</si>
  <si>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</si>
  <si>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</si>
  <si>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</si>
  <si>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</si>
  <si>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</si>
  <si>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</si>
  <si>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</si>
  <si>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</si>
  <si>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</si>
  <si>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</si>
  <si>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</si>
  <si>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</si>
  <si>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</si>
  <si>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</si>
  <si>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</si>
  <si>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</si>
  <si>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</si>
  <si>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</si>
  <si>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</si>
  <si>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</si>
  <si>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</si>
  <si>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</si>
  <si>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</si>
  <si>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</si>
  <si>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</si>
  <si>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</si>
  <si>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</si>
  <si>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</si>
  <si>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</si>
  <si>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</si>
  <si>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</si>
  <si>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</si>
  <si>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</si>
  <si>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</si>
  <si>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</si>
  <si>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</si>
  <si>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</si>
  <si>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</si>
  <si>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</si>
  <si>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</si>
  <si>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</si>
  <si>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</si>
  <si>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</si>
  <si>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</si>
  <si>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</si>
  <si>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</si>
  <si>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</si>
  <si>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</si>
  <si>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</si>
  <si>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</si>
  <si>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</si>
  <si>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</si>
  <si>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</si>
  <si>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</si>
  <si>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https://youtu.be/UEB_bv4CaEo?si=L74M7Ta1MiksIBQ1&amp;t=7410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</si>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</sst>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03" zoomScale="85" zoomScaleNormal="85" workbookViewId="0">
      <selection activeCell="Q1028" sqref="Q1028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패</v>
      </c>
      <c r="E1014">
        <f>COUNTIF(M1014:M1018,"승")</f>
        <v>1</v>
      </c>
      <c r="F1014">
        <f>COUNTA(M1014:M1018)-E1014</f>
        <v>4</v>
      </c>
      <c r="G1014" s="1">
        <f>E1014/(E1014+F1014)</f>
        <v>0.2</v>
      </c>
      <c r="I1014" s="2">
        <v>1</v>
      </c>
      <c r="J1014" t="s">
        <v>1455</v>
      </c>
      <c r="K1014" t="s">
        <v>17</v>
      </c>
      <c r="L1014" t="str">
        <f t="shared" si="19"/>
        <v>T</v>
      </c>
      <c r="M1014" t="s">
        <v>4</v>
      </c>
      <c r="N1014" t="s">
        <v>1466</v>
      </c>
      <c r="O1014" t="s">
        <v>1470</v>
      </c>
    </row>
    <row r="1015" spans="1:15" x14ac:dyDescent="0.6">
      <c r="I1015" s="2">
        <v>2</v>
      </c>
      <c r="J1015" s="2">
        <v>2</v>
      </c>
      <c r="K1015" t="s">
        <v>66</v>
      </c>
      <c r="L1015" t="str">
        <f t="shared" si="19"/>
        <v>Z</v>
      </c>
      <c r="M1015" t="s">
        <v>3</v>
      </c>
      <c r="N1015" t="s">
        <v>1467</v>
      </c>
      <c r="O1015" t="s">
        <v>1471</v>
      </c>
    </row>
    <row r="1016" spans="1:15" x14ac:dyDescent="0.6">
      <c r="I1016" s="2">
        <v>3</v>
      </c>
      <c r="J1016" s="2">
        <v>3</v>
      </c>
      <c r="K1016" t="s">
        <v>16</v>
      </c>
      <c r="L1016" t="str">
        <f t="shared" si="19"/>
        <v>T</v>
      </c>
      <c r="M1016" t="s">
        <v>4</v>
      </c>
      <c r="N1016" t="s">
        <v>72</v>
      </c>
      <c r="O1016" t="s">
        <v>1472</v>
      </c>
    </row>
    <row r="1017" spans="1:15" x14ac:dyDescent="0.6">
      <c r="I1017" s="2">
        <v>4</v>
      </c>
      <c r="J1017" s="2">
        <v>4</v>
      </c>
      <c r="K1017" t="s">
        <v>25</v>
      </c>
      <c r="L1017" t="str">
        <f t="shared" si="19"/>
        <v>T</v>
      </c>
      <c r="M1017" t="s">
        <v>4</v>
      </c>
      <c r="N1017" t="s">
        <v>1468</v>
      </c>
      <c r="O1017" t="s">
        <v>1473</v>
      </c>
    </row>
    <row r="1018" spans="1:15" x14ac:dyDescent="0.6">
      <c r="I1018" s="2">
        <v>5</v>
      </c>
      <c r="J1018" s="2">
        <v>5</v>
      </c>
      <c r="K1018" t="s">
        <v>25</v>
      </c>
      <c r="L1018" t="str">
        <f t="shared" si="19"/>
        <v>T</v>
      </c>
      <c r="M1018" t="s">
        <v>4</v>
      </c>
      <c r="N1018" t="s">
        <v>1468</v>
      </c>
      <c r="O1018" t="s">
        <v>1474</v>
      </c>
    </row>
    <row r="1019" spans="1:15" x14ac:dyDescent="0.6">
      <c r="A1019" t="s">
        <v>1465</v>
      </c>
      <c r="B1019" t="s">
        <v>23</v>
      </c>
      <c r="C1019" t="s">
        <v>171</v>
      </c>
      <c r="D1019" t="str">
        <f>IF(E1019&gt;F1019,"승",IF(E1019&lt;F1019,"패"))</f>
        <v>승</v>
      </c>
      <c r="E1019">
        <f>COUNTIF(M1019:M1025,"승")</f>
        <v>4</v>
      </c>
      <c r="F1019">
        <f>COUNTA(M1019:M1025)-E1019</f>
        <v>3</v>
      </c>
      <c r="G1019" s="1">
        <f>E1019/(E1019+F1019)</f>
        <v>0.5714285714285714</v>
      </c>
      <c r="I1019" s="2">
        <v>1</v>
      </c>
      <c r="J1019" t="s">
        <v>1455</v>
      </c>
      <c r="K1019" t="s">
        <v>16</v>
      </c>
      <c r="L1019" t="str">
        <f t="shared" si="19"/>
        <v>T</v>
      </c>
      <c r="M1019" t="s">
        <v>3</v>
      </c>
      <c r="N1019" t="s">
        <v>72</v>
      </c>
      <c r="O1019" t="s">
        <v>1475</v>
      </c>
    </row>
    <row r="1020" spans="1:15" x14ac:dyDescent="0.6">
      <c r="I1020" s="2">
        <v>2</v>
      </c>
      <c r="J1020" s="2">
        <v>2</v>
      </c>
      <c r="K1020" t="s">
        <v>25</v>
      </c>
      <c r="L1020" t="str">
        <f t="shared" si="19"/>
        <v>T</v>
      </c>
      <c r="M1020" t="s">
        <v>3</v>
      </c>
      <c r="N1020" t="s">
        <v>1468</v>
      </c>
      <c r="O1020" t="s">
        <v>1476</v>
      </c>
    </row>
    <row r="1021" spans="1:15" x14ac:dyDescent="0.6">
      <c r="I1021" s="2">
        <v>3</v>
      </c>
      <c r="J1021" s="2">
        <v>3</v>
      </c>
      <c r="K1021" t="s">
        <v>17</v>
      </c>
      <c r="L1021" t="str">
        <f t="shared" si="19"/>
        <v>T</v>
      </c>
      <c r="M1021" t="s">
        <v>4</v>
      </c>
      <c r="N1021" t="s">
        <v>1466</v>
      </c>
      <c r="O1021" t="s">
        <v>1477</v>
      </c>
    </row>
    <row r="1022" spans="1:15" x14ac:dyDescent="0.6">
      <c r="I1022" s="2">
        <v>4</v>
      </c>
      <c r="J1022" s="2">
        <v>4</v>
      </c>
      <c r="K1022" t="s">
        <v>66</v>
      </c>
      <c r="L1022" t="str">
        <f t="shared" si="19"/>
        <v>Z</v>
      </c>
      <c r="M1022" t="s">
        <v>3</v>
      </c>
      <c r="N1022" t="s">
        <v>1467</v>
      </c>
      <c r="O1022" t="s">
        <v>1478</v>
      </c>
    </row>
    <row r="1023" spans="1:15" x14ac:dyDescent="0.6">
      <c r="I1023" s="2">
        <v>5</v>
      </c>
      <c r="J1023" s="2">
        <v>5</v>
      </c>
      <c r="K1023" t="s">
        <v>66</v>
      </c>
      <c r="L1023" t="str">
        <f t="shared" si="19"/>
        <v>Z</v>
      </c>
      <c r="M1023" t="s">
        <v>4</v>
      </c>
      <c r="N1023" t="s">
        <v>1467</v>
      </c>
      <c r="O1023" t="s">
        <v>1479</v>
      </c>
    </row>
    <row r="1024" spans="1:15" x14ac:dyDescent="0.6">
      <c r="I1024" s="2">
        <v>6</v>
      </c>
      <c r="J1024" s="2">
        <v>6</v>
      </c>
      <c r="K1024" t="s">
        <v>17</v>
      </c>
      <c r="L1024" t="str">
        <f t="shared" ref="L1024:L1030" si="21">IFERROR(INDEX($R$2:$R$99,MATCH(K1024,$Q$2:$Q$99,0)),"")</f>
        <v>T</v>
      </c>
      <c r="M1024" t="s">
        <v>4</v>
      </c>
      <c r="N1024" t="s">
        <v>1466</v>
      </c>
      <c r="O1024" t="s">
        <v>1480</v>
      </c>
    </row>
    <row r="1025" spans="1:15" x14ac:dyDescent="0.6">
      <c r="I1025" s="2">
        <v>7</v>
      </c>
      <c r="J1025" s="2" t="s">
        <v>1469</v>
      </c>
      <c r="K1025" t="s">
        <v>25</v>
      </c>
      <c r="L1025" t="str">
        <f t="shared" si="21"/>
        <v>T</v>
      </c>
      <c r="M1025" t="s">
        <v>3</v>
      </c>
      <c r="N1025" t="s">
        <v>1468</v>
      </c>
      <c r="O1025" t="s">
        <v>1481</v>
      </c>
    </row>
    <row r="1026" spans="1:15" x14ac:dyDescent="0.6">
      <c r="A1026" t="s">
        <v>1482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1485</v>
      </c>
      <c r="O1026" t="s">
        <v>1488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1487</v>
      </c>
      <c r="O1027" t="s">
        <v>1489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1483</v>
      </c>
      <c r="O1028" t="s">
        <v>1490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1484</v>
      </c>
      <c r="O1029" t="s">
        <v>1491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1486</v>
      </c>
      <c r="O1030" t="s">
        <v>1492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3" si="22">IFERROR(INDEX($R$2:$R$99,MATCH(K1031,$Q$2:$Q$99,0)),"")</f>
        <v>P</v>
      </c>
      <c r="M1031" t="s">
        <v>3</v>
      </c>
      <c r="N1031" t="s">
        <v>1486</v>
      </c>
      <c r="O1031" t="s">
        <v>1493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1485</v>
      </c>
      <c r="O1032" t="s">
        <v>1494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1483</v>
      </c>
      <c r="O1033" t="s">
        <v>1495</v>
      </c>
    </row>
    <row r="1039" spans="1:15" x14ac:dyDescent="0.6">
      <c r="L1039" t="str">
        <f t="shared" si="19"/>
        <v/>
      </c>
    </row>
    <row r="1040" spans="1:15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2026-06-06T20:21:49Z</dcterms:modified>
</cp:coreProperties>
</file>