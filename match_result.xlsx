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47749F2F-D755-4E66-AB1B-7CD193309FA7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54" i="1" l="1"/>
  <c r="E1054" i="1"/>
  <c r="L1061" i="1"/>
  <c r="L1060" i="1"/>
  <c r="L1059" i="1" l="1"/>
  <c r="L1054" i="1"/>
  <c r="F1047" i="1"/>
  <c r="E1047" i="1"/>
  <c r="F1038" i="1"/>
  <c r="E1038" i="1"/>
  <c r="L1038" i="1"/>
  <c r="F1034" i="1"/>
  <c r="E1034" i="1"/>
  <c r="L1037" i="1"/>
  <c r="L1036" i="1"/>
  <c r="L1035" i="1"/>
  <c r="L1034" i="1"/>
  <c r="E1026" i="1"/>
  <c r="F1026" i="1" s="1"/>
  <c r="L1033" i="1"/>
  <c r="L1032" i="1"/>
  <c r="L1031" i="1"/>
  <c r="L1030" i="1"/>
  <c r="L1029" i="1"/>
  <c r="L1028" i="1"/>
  <c r="L1027" i="1"/>
  <c r="L1026" i="1"/>
  <c r="E1014" i="1"/>
  <c r="F1014" i="1" s="1"/>
  <c r="L1020" i="1"/>
  <c r="L1019" i="1"/>
  <c r="E1021" i="1"/>
  <c r="F1021" i="1" s="1"/>
  <c r="E1006" i="1"/>
  <c r="F1006" i="1" s="1"/>
  <c r="G1054" i="1" l="1"/>
  <c r="G1047" i="1"/>
  <c r="G1038" i="1"/>
  <c r="G1034" i="1"/>
  <c r="G1026" i="1"/>
  <c r="G1014" i="1"/>
  <c r="G1021" i="1"/>
  <c r="L1013" i="1"/>
  <c r="E997" i="1"/>
  <c r="F997" i="1" s="1"/>
  <c r="F7" i="1"/>
  <c r="E7" i="1"/>
  <c r="E991" i="1"/>
  <c r="F991" i="1" s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E971" i="1"/>
  <c r="F971" i="1" s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58" i="1"/>
  <c r="L1057" i="1"/>
  <c r="L1056" i="1"/>
  <c r="L1055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18" i="1"/>
  <c r="L1017" i="1"/>
  <c r="L1016" i="1"/>
  <c r="L1015" i="1"/>
  <c r="L1014" i="1"/>
  <c r="L1025" i="1"/>
  <c r="L1024" i="1"/>
  <c r="L1023" i="1"/>
  <c r="L1022" i="1"/>
  <c r="L1021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D1054" i="1" l="1"/>
  <c r="D1047" i="1"/>
  <c r="D1038" i="1"/>
  <c r="D1034" i="1"/>
  <c r="D1026" i="1"/>
  <c r="D1014" i="1"/>
  <c r="D1021" i="1"/>
  <c r="G1006" i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<sst xmlns="http://schemas.openxmlformats.org/spreadsheetml/2006/main" count="5022" uniqueCount="1543">
  <si>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</si>
  <si>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</si>
  <si>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</si>
  <si>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</si>
  <si>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</si>
  <si>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</si>
  <si>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</si>
  <si>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</si>
  <si>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</si>
  <si>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</si>
  <si>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</si>
  <si>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</si>
  <si>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</si>
  <si>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</si>
  <si>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</si>
  <si>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</si>
  <si>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</si>
  <si>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</si>
  <si>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</si>
  <si>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</si>
  <si>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</si>
  <si>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</si>
  <si>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</si>
  <si>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</si>
  <si>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</si>
  <si>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</si>
  <si>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</si>
  <si>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</si>
  <si>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</si>
  <si>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</si>
  <si>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</si>
  <si>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</si>
  <si>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</si>
  <si>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</si>
  <si>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</si>
  <si>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</si>
  <si>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</si>
  <si>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</si>
  <si>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</si>
  <si>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</si>
  <si>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</si>
  <si>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</si>
  <si>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</si>
  <si>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</si>
  <si>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</si>
  <si>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</si>
  <si>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</si>
  <si>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</si>
  <si>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</si>
  <si>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</si>
  <si>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</si>
  <si>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</si>
  <si>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</si>
  <si>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</si>
  <si>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</si>
  <si>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</si>
  <si>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</si>
  <si>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</si>
  <si>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</si>
  <si>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</si>
  <si>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</si>
  <si>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</si>
  <si>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</si>
  <si>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</si>
  <si>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</si>
  <si>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</si>
  <si>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</si>
  <si>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</si>
  <si>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</si>
  <si>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</si>
  <si>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</si>
  <si>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</si>
  <si>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</si>
  <si>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</si>
  <si>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</si>
  <si>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</si>
  <si>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</si>
  <si>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</si>
  <si>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</si>
  <si>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</si>
  <si>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</si>
  <si>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</si>
  <si>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</si>
  <si>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</si>
  <si>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</si>
  <si>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</si>
  <si>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</si>
  <si>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</si>
  <si>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</si>
  <si>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</si>
  <si>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</si>
  <si>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</si>
  <si>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</si>
  <si>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</si>
  <si>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</si>
  <si>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</si>
  <si>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</si>
  <si>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</si>
  <si>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</si>
  <si>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</si>
  <si>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</si>
  <si>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</si>
  <si>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</si>
  <si>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</si>
  <si>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</si>
  <si>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</si>
  <si>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</si>
  <si>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</si>
  <si>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</si>
  <si>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</si>
  <si>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</si>
  <si>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</si>
  <si>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</si>
  <si>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</si>
  <si>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</si>
  <si>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</si>
  <si>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</si>
  <si>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</si>
  <si>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</si>
  <si>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</si>
  <si>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</si>
  <si>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</si>
  <si>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</si>
  <si>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</si>
  <si>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</si>
  <si>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</si>
  <si>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</si>
  <si>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</si>
  <si>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</si>
  <si>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</si>
  <si>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</si>
  <si>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</si>
  <si>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</si>
  <si>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</si>
  <si>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</si>
  <si>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</si>
  <si>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</si>
  <si>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</si>
  <si>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</si>
  <si>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</si>
  <si>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</si>
  <si>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</si>
  <si>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</si>
  <si>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</si>
  <si>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</si>
  <si>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</si>
  <si>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</si>
  <si>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</si>
  <si>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</si>
  <si>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</si>
  <si>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</si>
  <si>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</si>
  <si>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</si>
  <si>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</si>
  <si>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</si>
  <si>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</si>
  <si>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</si>
  <si>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</si>
  <si>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</si>
  <si>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</si>
  <si>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</si>
  <si>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</si>
  <si>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</si>
  <si>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</si>
  <si>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</si>
  <si>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</si>
  <si>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</si>
  <si>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</si>
  <si>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</si>
  <si>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</si>
  <si>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</si>
  <si>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</si>
  <si>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</si>
  <si>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</si>
  <si>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</si>
  <si>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</si>
  <si>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</si>
  <si>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</si>
  <si>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</si>
  <si>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</si>
  <si>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</si>
  <si>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</si>
  <si>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</si>
  <si>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</si>
  <si>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</si>
  <si>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</si>
  <si>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</si>
  <si>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</si>
  <si>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</si>
  <si>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</si>
  <si>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</si>
  <si>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</si>
  <si>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</si>
  <si>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</si>
  <si>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</si>
  <si>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</si>
  <si>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</si>
  <si>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</si>
  <si>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</si>
  <si>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</si>
  <si>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</si>
  <si>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</si>
  <si>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</si>
  <si>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</si>
  <si>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</si>
  <si>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</si>
  <si>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</si>
  <si>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</si>
  <si>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</si>
  <si>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</si>
  <si>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</si>
  <si>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</si>
  <si>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</si>
  <si>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</si>
  <si>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</si>
  <si>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</si>
  <si>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</si>
  <si>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</si>
  <si>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</si>
  <si>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</si>
  <si>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</si>
  <si>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</si>
  <si>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</si>
  <si>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</si>
  <si>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</si>
  <si>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</si>
  <si>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</si>
  <si>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</si>
  <si>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</si>
  <si>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</si>
  <si>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</si>
  <si>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</si>
  <si>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</si>
  <si>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</si>
  <si>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</si>
  <si>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</si>
  <si>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</si>
  <si>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</si>
  <si>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</si>
  <si>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</si>
  <si>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</si>
  <si>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</si>
  <si>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</si>
  <si>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</si>
  <si>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</si>
  <si>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</si>
  <si>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</si>
  <si>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</si>
  <si>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</si>
  <si>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</si>
  <si>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</si>
  <si>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</si>
  <si>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</si>
  <si>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</si>
  <si>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</si>
  <si>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</si>
  <si>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</si>
  <si>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</si>
  <si>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</si>
  <si>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</si>
  <si>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</si>
  <si>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</si>
  <si>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</si>
  <si>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</si>
  <si>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</si>
  <si>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</si>
  <si>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</si>
  <si>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</si>
  <si>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</si>
  <si>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</si>
  <si>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</si>
  <si>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</si>
  <si>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</si>
  <si>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</si>
  <si>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</si>
  <si>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</si>
  <si>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</si>
  <si>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</si>
  <si>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</si>
  <si>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</si>
  <si>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</si>
  <si>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</si>
  <si>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</si>
  <si>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</si>
  <si>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</si>
  <si>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</si>
  <si>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</si>
  <si>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</si>
  <si>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</si>
  <si>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</si>
  <si>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</si>
  <si>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</si>
  <si>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</si>
  <si>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</si>
  <si>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</si>
  <si>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</si>
  <si>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</si>
  <si>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</si>
  <si>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</si>
  <si>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</si>
  <si>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</si>
  <si>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</si>
  <si>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</si>
  <si>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</si>
  <si>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</si>
  <si>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</si>
  <si>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</si>
  <si>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</si>
  <si>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</si>
  <si>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</si>
  <si>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</si>
  <si>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</si>
  <si>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</si>
  <si>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</si>
  <si>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</si>
  <si>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</si>
  <si>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</si>
  <si>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</si>
  <si>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</si>
  <si>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</si>
  <si>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</si>
  <si>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</si>
  <si>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</si>
  <si>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</si>
  <si>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</si>
  <si>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</si>
  <si>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</si>
  <si>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</si>
  <si>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</si>
  <si>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</si>
  <si>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</si>
  <si>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</si>
  <si>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</si>
  <si>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</si>
  <si>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</si>
  <si>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</si>
  <si>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</si>
  <si>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</si>
  <si>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</si>
  <si>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</si>
  <si>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</si>
  <si>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</si>
  <si>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</si>
  <si>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</si>
  <si>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</si>
  <si>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</si>
  <si>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</si>
  <si>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</si>
  <si>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</si>
  <si>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</si>
  <si>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</si>
  <si>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</si>
  <si>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</si>
  <si>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</si>
  <si>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</si>
  <si>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</si>
  <si>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</si>
  <si>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</si>
  <si>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</si>
  <si>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</si>
  <si>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</si>
  <si>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</si>
  <si>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</si>
  <si>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</si>
  <si>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</si>
  <si>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</si>
  <si>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</si>
  <si>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</si>
  <si>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</si>
  <si>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</si>
  <si>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</si>
  <si>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</si>
  <si>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</si>
  <si>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</si>
  <si>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</si>
  <si>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</si>
  <si>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</si>
  <si>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</si>
  <si>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</si>
  <si>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</si>
  <si>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</si>
  <si>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</si>
  <si>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</si>
  <si>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</si>
  <si>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</si>
  <si>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</si>
  <si>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</si>
  <si>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</si>
  <si>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</si>
  <si>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</si>
  <si>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</si>
  <si>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</si>
  <si>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</si>
  <si>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</si>
  <si>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</si>
  <si>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</si>
  <si>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</si>
  <si>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</si>
  <si>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</si>
  <si>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</si>
  <si>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</si>
  <si>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</si>
  <si>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</si>
  <si>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</si>
  <si>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</si>
  <si>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</si>
  <si>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</si>
  <si>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</si>
  <si>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</si>
  <si>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</si>
  <si>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</si>
  <si>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</si>
  <si>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</si>
  <si>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</si>
  <si>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</si>
  <si>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</si>
  <si>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</si>
  <si>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</si>
  <si>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</si>
  <si>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</si>
  <si>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</si>
  <si>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</si>
  <si>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</si>
  <si>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</si>
  <si>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</si>
  <si>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</si>
  <si>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</si>
  <si>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</si>
  <si>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</si>
  <si>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</si>
  <si>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</si>
  <si>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</si>
  <si>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</si>
  <si>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</si>
  <si>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</si>
  <si>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</si>
  <si>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</si>
  <si>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</si>
  <si>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</si>
  <si>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</si>
  <si>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</si>
  <si>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</si>
  <si>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</si>
  <si>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</si>
  <si>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</si>
  <si>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</si>
  <si>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</si>
  <si>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</si>
  <si>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</si>
  <si>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</si>
  <si>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</si>
  <si>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</si>
  <si>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</si>
  <si>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</si>
  <si>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</si>
  <si>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</si>
  <si>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</si>
  <si>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</si>
  <si>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</si>
  <si>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</si>
  <si>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</si>
  <si>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</si>
  <si>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</si>
  <si>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</si>
  <si>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</si>
  <si>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</si>
  <si>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</si>
  <si>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</si>
  <si>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</si>
  <si>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</si>
  <si>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</si>
  <si>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</si>
  <si>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</si>
  <si>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</si>
  <si>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</si>
  <si>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</si>
  <si>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</si>
  <si>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</si>
  <si>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</si>
  <si>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</si>
  <si>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</si>
  <si>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</si>
  <si>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</si>
  <si>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</si>
  <si>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</si>
  <si>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</si>
  <si>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</si>
  <si>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</si>
  <si>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</si>
  <si>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</si>
  <si>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</si>
  <si>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</si>
  <si>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</si>
  <si>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</si>
  <si>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</si>
  <si>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</si>
  <si>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</si>
  <si>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</si>
  <si>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</si>
  <si>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</si>
  <si>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</si>
  <si>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</si>
  <si>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</si>
  <si>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</si>
  <si>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</si>
  <si>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</si>
  <si>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</si>
  <si>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</si>
  <si>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</si>
  <si>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</si>
  <si>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</si>
  <si>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</si>
  <si>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</si>
  <si>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</si>
  <si>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</si>
  <si>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</si>
  <si>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</si>
  <si>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</si>
  <si>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</si>
  <si>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</si>
  <si>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</si>
  <si>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</si>
  <si>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</si>
  <si>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</si>
  <si>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</si>
  <si>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</si>
  <si>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</si>
  <si>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</si>
  <si>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</si>
  <si>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</si>
  <si>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</si>
  <si>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</si>
  <si>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</si>
  <si>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</si>
  <si>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</si>
  <si>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</si>
  <si>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</si>
  <si>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</si>
  <si>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</si>
  <si>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</si>
  <si>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</si>
  <si>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</si>
  <si>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</si>
  <si>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</si>
  <si>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</si>
  <si>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</si>
  <si>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</si>
  <si>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</si>
  <si>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</si>
  <si>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</si>
  <si>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</si>
  <si>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</si>
  <si>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</si>
  <si>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</si>
  <si>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</si>
  <si>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</si>
  <si>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</si>
  <si>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</si>
  <si>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</si>
  <si>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</si>
  <si>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</si>
  <si>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</si>
  <si>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</si>
  <si>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</si>
  <si>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</si>
  <si>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</si>
  <si>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</si>
  <si>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</si>
  <si>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</si>
  <si>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</si>
  <si>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</si>
  <si>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</si>
  <si>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</si>
  <si>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</si>
  <si>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</si>
  <si>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</si>
  <si>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</si>
  <si>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</si>
  <si>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</si>
  <si>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</si>
  <si>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</si>
  <si>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</si>
  <si>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</si>
  <si>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</si>
  <si>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</si>
  <si>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</si>
  <si>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</si>
  <si>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</si>
  <si>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</si>
  <si>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</si>
  <si>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</si>
  <si>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</si>
  <si>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</si>
  <si>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</si>
  <si>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</si>
  <si>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</si>
  <si>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</si>
  <si>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</si>
  <si>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</si>
  <si>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</si>
  <si>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</si>
  <si>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</si>
  <si>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</si>
  <si>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</si>
  <si>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</si>
  <si>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</si>
  <si>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</si>
  <si>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</si>
  <si>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</si>
  <si>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</si>
  <si>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</si>
  <si>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</si>
  <si>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</si>
  <si>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</si>
  <si>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</si>
  <si>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</si>
  <si>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</si>
  <si>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</si>
  <si>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</si>
  <si>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</si>
  <si>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</si>
  <si>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</si>
  <si>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</si>
  <si>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</si>
  <si>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</si>
  <si>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</si>
  <si>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</si>
  <si>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</si>
  <si>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</si>
  <si>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</si>
  <si>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</si>
  <si>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</si>
  <si>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</si>
  <si>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</si>
  <si>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</si>
  <si>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</si>
  <si>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</si>
  <si>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</si>
  <si>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</si>
  <si>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</si>
  <si>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</si>
  <si>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</si>
  <si>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</si>
  <si>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</si>
  <si>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</si>
  <si>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</si>
  <si>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</si>
  <si>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</si>
  <si>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</si>
  <si>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</si>
  <si>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</si>
  <si>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</si>
  <si>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</si>
  <si>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</si>
  <si>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</si>
  <si>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</si>
  <si>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</si>
  <si>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</si>
  <si>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</si>
  <si>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</si>
  <si>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</si>
  <si>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</si>
  <si>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</si>
  <si>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</si>
  <si>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</si>
  <si>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</si>
  <si>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</si>
  <si>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</si>
  <si>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</si>
  <si>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</si>
  <si>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</si>
  <si>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</si>
  <si>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</si>
  <si>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</si>
  <si>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</si>
  <si>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</si>
  <si>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</si>
  <si>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</si>
  <si>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</si>
  <si>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</si>
  <si>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</si>
  <si>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</si>
  <si>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</si>
  <si>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</si>
  <si>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</si>
  <si>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</si>
  <si>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</si>
  <si>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</si>
  <si>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</si>
  <si>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</si>
  <si>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</si>
  <si>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</si>
  <si>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</si>
  <si>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</si>
  <si>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</si>
  <si>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</si>
  <si>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</si>
  <si>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</si>
  <si>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</si>
  <si>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</si>
  <si>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</si>
  <si>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</si>
  <si>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</si>
  <si>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</si>
  <si>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</si>
  <si>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</si>
  <si>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</si>
  <si>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</si>
  <si>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</si>
  <si>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</si>
  <si>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</si>
  <si>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</si>
  <si>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</si>
  <si>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</si>
  <si>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</si>
  <si>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</si>
  <si>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</si>
  <si>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</si>
  <si>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</si>
  <si>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</si>
  <si>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</si>
  <si>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</si>
  <si>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</si>
  <si>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</si>
  <si>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</si>
  <si>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</si>
  <si>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</si>
  <si>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</si>
  <si>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</si>
  <si>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</si>
  <si>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</si>
  <si>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</si>
  <si>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</si>
  <si>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</si>
  <si>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</si>
  <si>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</si>
  <si>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</si>
  <si>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</si>
  <si>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</si>
  <si>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</si>
  <si>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</si>
  <si>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</si>
  <si>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</si>
  <si>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</si>
  <si>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</si>
  <si>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</si>
  <si>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</si>
  <si>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</si>
  <si>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</si>
  <si>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</si>
  <si>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</si>
  <si>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</si>
  <si>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</si>
  <si>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</si>
  <si>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</si>
  <si>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</si>
  <si>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</si>
  <si>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</si>
  <si>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</si>
  <si>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</si>
  <si>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</si>
  <si>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</si>
  <si>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</si>
  <si>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</si>
  <si>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</si>
  <si>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</si>
  <si>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</si>
  <si>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</si>
  <si>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</si>
  <si>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</si>
  <si>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</si>
  <si>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</si>
  <si>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</si>
  <si>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</si>
  <si>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</si>
  <si>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</si>
  <si>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</si>
  <si>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</si>
  <si>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</si>
  <si>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</si>
  <si>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</si>
  <si>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</si>
  <si>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</si>
  <si>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</si>
  <si>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</si>
  <si>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</si>
  <si>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</si>
  <si>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</si>
  <si>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</si>
  <si>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</si>
  <si>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</si>
  <si>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</si>
  <si>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</si>
  <si>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</si>
  <si>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</si>
  <si>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</si>
  <si>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</si>
  <si>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</si>
  <si>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</si>
  <si>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</si>
  <si>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</si>
  <si>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</si>
  <si>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</si>
  <si>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</si>
  <si>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</si>
  <si>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</si>
  <si>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</si>
  <si>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</si>
  <si>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</si>
  <si>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</si>
  <si>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</si>
  <si>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</si>
  <si>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</si>
  <si>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</si>
  <si>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</si>
  <si>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</si>
  <si>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</si>
  <si>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</si>
  <si>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</si>
  <si>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</si>
  <si>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</si>
  <si>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</si>
  <si>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</si>
  <si>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</si>
  <si>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</si>
  <si>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</si>
  <si>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</si>
  <si>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</si>
  <si>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</si>
  <si>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</si>
  <si>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</si>
  <si>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</si>
  <si>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</si>
  <si>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</si>
  <si>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</si>
  <si>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</si>
  <si>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</si>
  <si>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</si>
  <si>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</si>
  <si>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</si>
  <si>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</si>
  <si>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</si>
  <si>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</si>
  <si>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</si>
  <si>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</si>
  <si>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</si>
  <si>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</si>
  <si>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</si>
  <si>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</si>
  <si>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</si>
  <si>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</si>
  <si>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</si>
  <si>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</si>
  <si>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</si>
  <si>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</si>
  <si>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</si>
  <si>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</si>
  <si>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</si>
  <si>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</si>
  <si>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</si>
  <si>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</si>
  <si>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</si>
  <si>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</si>
  <si>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</si>
  <si>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</si>
  <si>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</si>
  <si>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</si>
  <si>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</si>
  <si>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</si>
  <si>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</si>
  <si>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</si>
  <si>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</si>
  <si>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</si>
  <si>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</si>
  <si>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</si>
  <si>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</si>
  <si>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</si>
  <si>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</si>
  <si>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</si>
  <si>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</si>
  <si>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</si>
  <si>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</si>
  <si>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</si>
  <si>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</si>
  <si>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</si>
  <si>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</si>
  <si>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</si>
  <si>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</si>
  <si>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</si>
  <si>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</si>
  <si>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</si>
  <si>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</si>
  <si>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</si>
  <si>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</si>
  <si>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</si>
  <si>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</si>
  <si>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</si>
  <si>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</si>
  <si>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</si>
  <si>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</si>
  <si>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</si>
  <si>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</si>
  <si>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</si>
  <si>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</si>
  <si>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</si>
  <si>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</si>
  <si>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</si>
  <si>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</si>
  <si>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</si>
  <si>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</si>
  <si>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</si>
  <si>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</si>
  <si>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</si>
  <si>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</si>
  <si>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</si>
  <si>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</si>
  <si>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</si>
  <si>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</si>
  <si>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</si>
  <si>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</si>
  <si>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</si>
  <si>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</si>
  <si>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</si>
  <si>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</si>
  <si>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</si>
  <si>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</si>
  <si>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</si>
  <si>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</si>
  <si>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</si>
  <si>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</si>
  <si>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</si>
  <si>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</si>
  <si>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</si>
  <si>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</si>
  <si>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</si>
  <si>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</si>
  <si>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</si>
  <si>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</si>
  <si>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</si>
  <si>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</si>
  <si>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</si>
  <si>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</si>
  <si>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</si>
  <si>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</si>
  <si>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</si>
  <si>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</si>
  <si>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</si>
  <si>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</si>
  <si>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</si>
  <si>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</si>
  <si>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</si>
  <si>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</si>
  <si>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</si>
  <si>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</si>
  <si>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</si>
  <si>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</si>
  <si>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</si>
  <si>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</si>
  <si>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</si>
  <si>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</si>
  <si>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</si>
  <si>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</si>
  <si>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</si>
  <si>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</si>
  <si>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</si>
  <si>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</si>
  <si>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</si>
  <si>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</si>
  <si>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</si>
  <si>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</si>
  <si>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</si>
  <si>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</si>
  <si>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</si>
  <si>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</si>
  <si>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</si>
  <si>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</si>
  <si>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</si>
  <si>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</si>
  <si>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</si>
  <si>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</si>
  <si>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</si>
  <si>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</si>
  <si>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</si>
  <si>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</si>
  <si>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</si>
  <si>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</si>
  <si>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</si>
  <si>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</si>
  <si>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</si>
  <si>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</si>
  <si>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</si>
  <si>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</si>
  <si>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</si>
  <si>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</si>
  <si>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</si>
  <si>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</si>
  <si>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</si>
  <si>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</si>
  <si>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</si>
  <si>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</si>
  <si>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</si>
  <si>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</si>
  <si>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</si>
  <si>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</si>
  <si>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</si>
  <si>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</si>
  <si>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</si>
  <si>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</si>
  <si>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</si>
  <si>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</si>
  <si>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</si>
  <si>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</si>
  <si>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</si>
  <si>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</si>
  <si>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</si>
  <si>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</si>
  <si>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</si>
  <si>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</si>
  <si>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</si>
  <si>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</si>
  <si>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</si>
  <si>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</si>
  <si>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</si>
  <si>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</si>
  <si>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</si>
  <si>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</si>
  <si>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</si>
  <si>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</si>
  <si>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</si>
  <si>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</si>
  <si>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</si>
  <si>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</si>
  <si>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</si>
  <si>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</si>
  <si>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</si>
  <si>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</si>
  <si>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</si>
  <si>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</si>
  <si>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</si>
  <si>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</si>
  <si>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</si>
  <si>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</si>
  <si>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</si>
  <si>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</si>
  <si>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</si>
  <si>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</si>
  <si>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</si>
  <si>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</si>
  <si>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</si>
  <si>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</si>
  <si>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</si>
  <si>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</si>
  <si>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</si>
  <si>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</si>
  <si>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</si>
  <si>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</si>
  <si>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</si>
  <si>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</si>
  <si>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</si>
  <si>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</si>
  <si>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</si>
  <si>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</si>
  <si>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</si>
  <si>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</si>
  <si>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</si>
  <si>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</si>
  <si>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</si>
  <si>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</si>
  <si>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</si>
  <si>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</si>
  <si>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</si>
  <si>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</si>
  <si>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</si>
  <si>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</si>
  <si>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</si>
  <si>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</si>
  <si>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</si>
  <si>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</si>
  <si>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</si>
  <si>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</si>
  <si>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</si>
  <si>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</si>
  <si>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</si>
  <si>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</si>
  <si>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</si>
  <si>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</si>
  <si>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</si>
  <si>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</si>
  <si>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</si>
  <si>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</si>
  <si>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</si>
  <si>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</si>
  <si>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</si>
  <si>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</si>
  <si>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</si>
  <si>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</si>
  <si>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</si>
  <si>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</si>
  <si>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</si>
  <si>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</si>
  <si>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</si>
  <si>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</si>
  <si>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</si>
  <si>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</si>
  <si>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</si>
  <si>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</si>
  <si>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</si>
  <si>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</si>
  <si>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</si>
  <si>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</si>
  <si>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</si>
  <si>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</si>
  <si>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</si>
  <si>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</si>
  <si>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</si>
  <si>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</si>
  <si>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</si>
  <si>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</si>
  <si>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</si>
  <si>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</si>
  <si>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</si>
  <si>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</si>
  <si>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</si>
  <si>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</si>
  <si>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</si>
  <si>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</si>
  <si>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</si>
  <si>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</si>
  <si>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</si>
  <si>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</si>
  <si>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</si>
  <si>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</si>
  <si>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</si>
  <si>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</si>
  <si>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</si>
  <si>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</si>
  <si>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</si>
  <si>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</si>
  <si>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</si>
  <si>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</si>
  <si>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</si>
  <si>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</si>
  <si>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</si>
  <si>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</si>
  <si>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</si>
  <si>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</si>
  <si>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</si>
  <si>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</si>
  <si>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</si>
  <si>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</si>
  <si>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</si>
  <si>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</si>
  <si>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</si>
  <si>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</si>
  <si>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</si>
  <si>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</si>
  <si>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</si>
  <si>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</si>
  <si>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</si>
  <si>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</si>
  <si>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</si>
  <si>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</si>
  <si>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</si>
  <si>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</si>
  <si>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</si>
  <si>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</si>
  <si>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</si>
  <si>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</si>
  <si>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</si>
  <si>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</si>
  <si>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</si>
  <si>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</si>
  <si>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</si>
  <si>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</si>
  <si>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</si>
  <si>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</si>
  <si>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</si>
  <si>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</si>
  <si>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</si>
  <si>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</si>
  <si>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</si>
  <si>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</si>
  <si>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</si>
  <si>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</si>
  <si>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</si>
  <si>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</si>
  <si>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</si>
  <si>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</si>
  <si>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</si>
  <si>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</si>
  <si>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</si>
  <si>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</si>
  <si>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</si>
  <si>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</si>
  <si>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</si>
  <si>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</si>
  <si>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</si>
  <si>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</si>
  <si>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</si>
  <si>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</si>
  <si>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</si>
  <si>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</si>
  <si>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</si>
  <si>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</si>
  <si>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</si>
  <si>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</si>
  <si>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</si>
  <si>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</si>
  <si>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</si>
  <si>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</si>
  <si>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</si>
  <si>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</si>
  <si>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</si>
  <si>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</si>
  <si>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</si>
  <si>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</si>
  <si>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</si>
  <si>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</si>
  <si>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</si>
  <si>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</si>
  <si>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</si>
  <si>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</si>
  <si>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</si>
  <si>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</si>
  <si>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</si>
  <si>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</si>
  <si>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</si>
  <si>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</si>
  <si>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</si>
  <si>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</si>
  <si>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</si>
  <si>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</si>
  <si>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</si>
  <si>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</si>
  <si>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</si>
  <si>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</si>
  <si>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</si>
  <si>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</si>
  <si>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</si>
  <si>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</si>
  <si>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</si>
  <si>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</si>
  <si>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</si>
  <si>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</si>
  <si>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</si>
  <si>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</si>
  <si>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</si>
  <si>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</si>
  <si>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</si>
  <si>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</si>
  <si>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</si>
  <si>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</si>
  <si>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</si>
  <si>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</si>
  <si>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</si>
  <si>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</si>
  <si>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</si>
  <si>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</si>
  <si>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</si>
  <si>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</si>
  <si>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</si>
  <si>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</si>
  <si>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</si>
  <si>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</si>
  <si>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</si>
  <si>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</si>
  <si>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</si>
  <si>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</si>
  <si>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</si>
  <si>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</si>
  <si>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</si>
  <si>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</si>
  <si>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</si>
  <si>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</si>
  <si>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</si>
  <si>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</si>
  <si>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</si>
  <si>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</si>
  <si>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</si>
  <si>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</si>
  <si>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</si>
  <si>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</si>
  <si>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</si>
  <si>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</si>
  <si>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</si>
  <si>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</si>
  <si>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</si>
  <si>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</si>
  <si>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</si>
  <si>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</si>
  <si>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</si>
  <si>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</si>
  <si>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</si>
  <si>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</si>
  <si>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</si>
  <si>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</si>
  <si>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</si>
  <si>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</si>
  <si>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</si>
  <si>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</si>
  <si>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</si>
  <si>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</si>
  <si>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</si>
  <si>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</si>
  <si>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</si>
  <si>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</si>
  <si>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</si>
  <si>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</si>
  <si>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</si>
  <si>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</si>
  <si>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</si>
  <si>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</si>
  <si>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</si>
  <si>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</si>
  <si>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</si>
  <si>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</si>
  <si>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</si>
  <si>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</si>
  <si>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</si>
  <si>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</si>
  <si>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</si>
  <si>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</si>
  <si>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</si>
  <si>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</si>
  <si>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</si>
  <si>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</si>
  <si>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</si>
  <si>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</si>
  <si>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</si>
  <si>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</si>
  <si>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</si>
  <si>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</si>
  <si>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</si>
  <si>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</si>
  <si>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</si>
  <si>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</si>
  <si>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</si>
  <si>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</si>
  <si>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</si>
  <si>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</si>
  <si>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</si>
  <si>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</si>
  <si>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</si>
  <si>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</si>
  <si>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</si>
  <si>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</si>
  <si>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</si>
  <si>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</si>
  <si>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</si>
  <si>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</si>
  <si>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</si>
  <si>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</si>
  <si>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</si>
  <si>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</si>
  <si>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</si>
  <si>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</si>
  <si>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</si>
  <si>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</si>
  <si>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</si>
  <si>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</si>
  <si>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</si>
  <si>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</si>
  <si>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</si>
  <si>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</si>
  <si>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</si>
  <si>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</si>
  <si>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</si>
  <si>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</si>
  <si>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</si>
  <si>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</si>
  <si>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</si>
  <si>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</si>
  <si>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</si>
  <si>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</si>
  <si>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</si>
  <si>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</si>
  <si>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</si>
  <si>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</si>
  <si>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</si>
  <si>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</si>
  <si>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</si>
  <si>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</si>
  <si>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</si>
  <si>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</si>
  <si>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</si>
  <si>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</si>
  <si>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</si>
  <si>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</si>
  <si>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</si>
  <si>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</si>
  <si>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</si>
  <si>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</si>
  <si>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</si>
  <si>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</si>
  <si>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</si>
  <si>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</si>
  <si>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</si>
  <si>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</si>
  <si>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</si>
  <si>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</si>
  <si>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</si>
  <si>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</si>
  <si>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</si>
  <si>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</si>
  <si>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</si>
  <si>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</si>
  <si>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</si>
  <si>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</si>
  <si>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</si>
  <si>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</si>
  <si>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</si>
  <si>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</si>
  <si>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</si>
  <si>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</si>
  <si>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</si>
  <si>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</si>
  <si>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</si>
  <si>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</si>
  <si>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</si>
  <si>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</si>
  <si>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</si>
  <si>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</si>
  <si>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</si>
  <si>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</si>
  <si>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</si>
  <si>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</si>
  <si>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</si>
  <si>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</si>
  <si>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</si>
  <si>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</si>
  <si>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</si>
  <si>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</si>
  <si>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</si>
  <si>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</si>
  <si>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</si>
  <si>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</si>
  <si>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</si>
  <si>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</si>
  <si>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</si>
  <si>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</si>
  <si>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</si>
  <si>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</si>
  <si>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</si>
  <si>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</si>
  <si>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</si>
  <si>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</si>
  <si>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</si>
  <si>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</si>
  <si>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</si>
  <si>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</si>
  <si>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</si>
  <si>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</si>
  <si>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</si>
  <si>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</si>
  <si>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</si>
  <si>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</si>
  <si>
    <t>김윤중</t>
    <phoneticPr fontId="2" type="noConversion"/>
  </si>
  <si>
    <t>https://youtu.be/QiAUKSm59Z4?si=i_nR85GdQ9CdSXAK&amp;t=730</t>
  </si>
  <si>
    <t>https://youtu.be/QiAUKSm59Z4?si=_5ldIyXSjU_0SXsn&amp;t=1690</t>
  </si>
  <si>
    <t>https://youtu.be/QiAUKSm59Z4?si=z33lGU_FaaiE0hSw&amp;t=2790</t>
  </si>
  <si>
    <t>https://youtu.be/QiAUKSm59Z4?si=CVaRbtMLyjYRCZM2&amp;t=3370</t>
  </si>
  <si>
    <t>https://youtu.be/QiAUKSm59Z4?si=AgX8ELm5Tf_ZE40S&amp;t=5020</t>
  </si>
  <si>
    <t>https://youtu.be/QiAUKSm59Z4?si=0ArDRY_5vGSsNHxi&amp;t=6765</t>
  </si>
  <si>
    <t>https://youtu.be/QiAUKSm59Z4?si=gZXbnOuAP0pcn1bm&amp;t=8745</t>
  </si>
  <si>
    <t>https://youtu.be/QiAUKSm59Z4?si=MdPuDtHaaekrsO4e&amp;t=7340</t>
  </si>
  <si>
    <t>2026.06.05</t>
    <phoneticPr fontId="2" type="noConversion"/>
  </si>
  <si>
    <t>박하악</t>
    <phoneticPr fontId="2" type="noConversion"/>
  </si>
  <si>
    <t>뚜비</t>
    <phoneticPr fontId="2" type="noConversion"/>
  </si>
  <si>
    <t>빵리나</t>
    <phoneticPr fontId="2" type="noConversion"/>
  </si>
  <si>
    <t>[A]</t>
    <phoneticPr fontId="2" type="noConversion"/>
  </si>
  <si>
    <t>https://youtu.be/UEB_bv4CaEo?si=znS7AoN9UPD0mBep&amp;t=6774</t>
  </si>
  <si>
    <t>https://youtu.be/UEB_bv4CaEo?si=PFT6dJ_p6WqzTiUV&amp;t=8036</t>
  </si>
  <si>
    <t>https://youtu.be/UEB_bv4CaEo?si=Zvx9AezyO0kXUDrk&amp;t=9328</t>
  </si>
  <si>
    <t>https://youtu.be/UEB_bv4CaEo?si=pAfYibvhYDjEX5nq&amp;t=11340</t>
  </si>
  <si>
    <t>https://youtu.be/UEB_bv4CaEo?si=0ADjQlaCaZSHGad5&amp;t=12272</t>
  </si>
  <si>
    <t>https://youtu.be/UEB_bv4CaEo?si=BYyA8fU41EItqMzZ&amp;t=13985</t>
  </si>
  <si>
    <t>https://youtu.be/UEB_bv4CaEo?si=7o4loUqeMsQ8XNX2&amp;t=15067</t>
  </si>
  <si>
    <t>https://youtu.be/UEB_bv4CaEo?si=zC4FyTb3L075X8UF&amp;t=16610</t>
  </si>
  <si>
    <t>https://youtu.be/UEB_bv4CaEo?si=3_YRWlKGkmhjoPxU&amp;t=17724</t>
  </si>
  <si>
    <t>https://youtu.be/UEB_bv4CaEo?si=eZGfRZ6_7CawtoHy&amp;t=18648</t>
  </si>
  <si>
    <t>https://youtu.be/UEB_bv4CaEo?si=GOj3NgJPJ0YPafSM&amp;t=19252</t>
  </si>
  <si>
    <t>2026.06.06</t>
    <phoneticPr fontId="2" type="noConversion"/>
  </si>
  <si>
    <t>구보라</t>
    <phoneticPr fontId="2" type="noConversion"/>
  </si>
  <si>
    <t>시녕뭉</t>
    <phoneticPr fontId="2" type="noConversion"/>
  </si>
  <si>
    <t>하두링</t>
    <phoneticPr fontId="2" type="noConversion"/>
  </si>
  <si>
    <t>제갈츄빈</t>
    <phoneticPr fontId="2" type="noConversion"/>
  </si>
  <si>
    <t>밤하밍</t>
    <phoneticPr fontId="2" type="noConversion"/>
  </si>
  <si>
    <t>https://youtu.be/7Zd42wicF4s?si=A7pZdTUPN_vSI5gF&amp;t=631</t>
  </si>
  <si>
    <t>https://youtu.be/7Zd42wicF4s?si=i_QvSsBXqj6NpnjO&amp;t=1783</t>
  </si>
  <si>
    <t>https://youtu.be/7Zd42wicF4s?si=nHZSExyPJ3e_J-IP&amp;t=2665</t>
  </si>
  <si>
    <t>https://youtu.be/7Zd42wicF4s?si=r8TXEg2B4TL52HkF&amp;t=4245</t>
  </si>
  <si>
    <t>https://youtu.be/7Zd42wicF4s?si=fKhrALRBKHfZ9VKS&amp;t=5318</t>
  </si>
  <si>
    <t>https://youtu.be/7Zd42wicF4s?si=b24s-Ui-W93Jh0gA&amp;t=6349</t>
  </si>
  <si>
    <t>https://youtu.be/7Zd42wicF4s?si=HfnXdkJ2qvfOyP_t&amp;t=7027</t>
  </si>
  <si>
    <t>https://youtu.be/7Zd42wicF4s?si=1CrZkh8DA3IVu40s&amp;t=8328</t>
  </si>
  <si>
    <t>설둥이</t>
    <phoneticPr fontId="2" type="noConversion"/>
  </si>
  <si>
    <t>연블비</t>
    <phoneticPr fontId="2" type="noConversion"/>
  </si>
  <si>
    <t>오세은</t>
    <phoneticPr fontId="2" type="noConversion"/>
  </si>
  <si>
    <t>2026.06.07</t>
    <phoneticPr fontId="2" type="noConversion"/>
  </si>
  <si>
    <t>ㄴ</t>
    <phoneticPr fontId="2" type="noConversion"/>
  </si>
  <si>
    <t>https://youtu.be/vFiLWz8gjPc?si=tRdRfPYFH7WwaFFZ</t>
  </si>
  <si>
    <t>https://youtu.be/vFiLWz8gjPc?si=xGuONO9HrJATxS4l&amp;t=7528</t>
  </si>
  <si>
    <t>https://youtu.be/vFiLWz8gjPc?si=JPHQeFlTuY_GZOtX&amp;t=8655</t>
  </si>
  <si>
    <t>https://youtu.be/vFiLWz8gjPc?si=HmripkPZ8LNP7YOX&amp;t=9266</t>
  </si>
  <si>
    <t>DM</t>
    <phoneticPr fontId="2" type="noConversion"/>
  </si>
  <si>
    <t>은서</t>
    <phoneticPr fontId="2" type="noConversion"/>
  </si>
  <si>
    <t>다뉴</t>
    <phoneticPr fontId="2" type="noConversion"/>
  </si>
  <si>
    <t>은조</t>
    <phoneticPr fontId="2" type="noConversion"/>
  </si>
  <si>
    <t>수니양</t>
    <phoneticPr fontId="2" type="noConversion"/>
  </si>
  <si>
    <t>빵리나</t>
    <phoneticPr fontId="2" type="noConversion"/>
  </si>
  <si>
    <t>김말랑</t>
    <phoneticPr fontId="2" type="noConversion"/>
  </si>
  <si>
    <t>https://youtu.be/0mnRmUqqE4U?si=R794HzgDDlOf8tFq&amp;t=3745</t>
    <phoneticPr fontId="2" type="noConversion"/>
  </si>
  <si>
    <t>https://youtu.be/0mnRmUqqE4U?si=l8j3xrtXm37OqZvN&amp;t=4725</t>
  </si>
  <si>
    <t>https://youtu.be/0mnRmUqqE4U?si=cjOFngoXli_4e6eJ&amp;t=6579</t>
  </si>
  <si>
    <t>https://youtu.be/0mnRmUqqE4U?si=u-BZNur9r7-vY8iq&amp;t=6090</t>
  </si>
  <si>
    <t>https://youtu.be/0mnRmUqqE4U?si=RmAYXkoiPqGD4lUB&amp;t=7272</t>
  </si>
  <si>
    <t>https://youtu.be/0mnRmUqqE4U?si=CFsoENVojhEnYug4&amp;t=8389</t>
  </si>
  <si>
    <t>https://youtu.be/0mnRmUqqE4U?si=UbaI4st2fA4eyham&amp;t=9682</t>
  </si>
  <si>
    <t>https://youtu.be/0mnRmUqqE4U?si=m9ghI-ea0v563qo-&amp;t=10915</t>
  </si>
  <si>
    <t>https://youtu.be/0mnRmUqqE4U?si=I9S89eNnPD0gC4wr&amp;t=11803</t>
  </si>
  <si>
    <t>2026.06.09</t>
    <phoneticPr fontId="2" type="noConversion"/>
  </si>
  <si>
    <t>2026.06.10</t>
    <phoneticPr fontId="2" type="noConversion"/>
  </si>
  <si>
    <t>헤요이</t>
    <phoneticPr fontId="2" type="noConversion"/>
  </si>
  <si>
    <t>2라니</t>
    <phoneticPr fontId="2" type="noConversion"/>
  </si>
  <si>
    <t>주서리</t>
    <phoneticPr fontId="2" type="noConversion"/>
  </si>
  <si>
    <t>치리</t>
    <phoneticPr fontId="2" type="noConversion"/>
  </si>
  <si>
    <t>먼진</t>
    <phoneticPr fontId="2" type="noConversion"/>
  </si>
  <si>
    <t>아링</t>
    <phoneticPr fontId="2" type="noConversion"/>
  </si>
  <si>
    <t>깨림이</t>
    <phoneticPr fontId="2" type="noConversion"/>
  </si>
  <si>
    <t>https://youtu.be/Qx4jkm3q-ss?si=cuGWdzfsW35Tcwca&amp;t=3620</t>
  </si>
  <si>
    <t>https://youtu.be/Qx4jkm3q-ss?si=3o0caOhRUfm8XLEh&amp;t=4876</t>
  </si>
  <si>
    <t>https://youtu.be/Qx4jkm3q-ss?si=C50pGE-zgYyYs9Af&amp;t=6009</t>
  </si>
  <si>
    <t>https://youtu.be/Qx4jkm3q-ss?si=F7BSF5dr9hU9HYTL&amp;t=7155</t>
  </si>
  <si>
    <t>https://youtu.be/Qx4jkm3q-ss?si=0xflW3nBx_2Tfx3X&amp;t=8100</t>
  </si>
  <si>
    <t>https://youtu.be/Qx4jkm3q-ss?si=SrBf3UxWWmkPCUh6&amp;t=9069</t>
  </si>
  <si>
    <t>https://youtu.be/Qx4jkm3q-ss?si=ST6oFSp_K_LwWSGt&amp;t=10630</t>
  </si>
  <si>
    <t>2026.06.11</t>
    <phoneticPr fontId="2" type="noConversion"/>
  </si>
  <si>
    <t>먼진</t>
    <phoneticPr fontId="2" type="noConversion"/>
  </si>
  <si>
    <t>뚜미</t>
    <phoneticPr fontId="2" type="noConversion"/>
  </si>
  <si>
    <t>경콩</t>
    <phoneticPr fontId="2" type="noConversion"/>
  </si>
  <si>
    <t>유이</t>
    <phoneticPr fontId="2" type="noConversion"/>
  </si>
  <si>
    <t>갱이다</t>
    <phoneticPr fontId="2" type="noConversion"/>
  </si>
  <si>
    <t>김유나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</si>
</sst>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1030" zoomScale="85" zoomScaleNormal="85" workbookViewId="0">
      <selection activeCell="O1057" sqref="O1057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1456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433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437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436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438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440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442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444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432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451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450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448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439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434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449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  <c r="P39" t="s">
        <v>435</v>
      </c>
      <c r="Q39" t="s">
        <v>1456</v>
      </c>
      <c r="R39" t="s">
        <v>428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60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  <c r="O1006" t="s">
        <v>1457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  <c r="O1007" t="s">
        <v>1458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  <c r="O1008" t="s">
        <v>1459</v>
      </c>
    </row>
    <row r="1009" spans="1:15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  <c r="O1009" t="s">
        <v>1460</v>
      </c>
    </row>
    <row r="1010" spans="1:15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  <c r="O1010" t="s">
        <v>1461</v>
      </c>
    </row>
    <row r="1011" spans="1:15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  <c r="O1011" t="s">
        <v>1462</v>
      </c>
    </row>
    <row r="1012" spans="1:15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  <c r="O1012" t="s">
        <v>1464</v>
      </c>
    </row>
    <row r="1013" spans="1:15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  <c r="O1013" t="s">
        <v>1463</v>
      </c>
    </row>
    <row r="1014" spans="1:15" x14ac:dyDescent="0.6">
      <c r="A1014" t="s">
        <v>1465</v>
      </c>
      <c r="B1014" t="s">
        <v>23</v>
      </c>
      <c r="C1014" t="s">
        <v>171</v>
      </c>
      <c r="D1014" t="str">
        <f>IF(E1014&gt;F1014,"승",IF(E1014&lt;F1014,"패"))</f>
        <v>승</v>
      </c>
      <c r="E1014">
        <f>COUNTIF(M1014:M1020,"승")</f>
        <v>4</v>
      </c>
      <c r="F1014">
        <f>COUNTA(M1014:M1020)-E1014</f>
        <v>3</v>
      </c>
      <c r="G1014" s="1">
        <f>E1014/(E1014+F1014)</f>
        <v>0.5714285714285714</v>
      </c>
      <c r="I1014" s="2">
        <v>1</v>
      </c>
      <c r="J1014" t="s">
        <v>1455</v>
      </c>
      <c r="K1014" t="s">
        <v>16</v>
      </c>
      <c r="L1014" t="str">
        <f t="shared" si="19"/>
        <v>T</v>
      </c>
      <c r="M1014" t="s">
        <v>3</v>
      </c>
      <c r="N1014" t="s">
        <v>72</v>
      </c>
      <c r="O1014" t="s">
        <v>1474</v>
      </c>
    </row>
    <row r="1015" spans="1:15" x14ac:dyDescent="0.6">
      <c r="I1015" s="2">
        <v>2</v>
      </c>
      <c r="J1015" s="2">
        <v>2</v>
      </c>
      <c r="K1015" t="s">
        <v>25</v>
      </c>
      <c r="L1015" t="str">
        <f t="shared" si="19"/>
        <v>T</v>
      </c>
      <c r="M1015" t="s">
        <v>3</v>
      </c>
      <c r="N1015" t="s">
        <v>1468</v>
      </c>
      <c r="O1015" t="s">
        <v>1475</v>
      </c>
    </row>
    <row r="1016" spans="1:15" x14ac:dyDescent="0.6">
      <c r="I1016" s="2">
        <v>3</v>
      </c>
      <c r="J1016" s="2">
        <v>3</v>
      </c>
      <c r="K1016" t="s">
        <v>17</v>
      </c>
      <c r="L1016" t="str">
        <f t="shared" si="19"/>
        <v>T</v>
      </c>
      <c r="M1016" t="s">
        <v>4</v>
      </c>
      <c r="N1016" t="s">
        <v>1466</v>
      </c>
      <c r="O1016" t="s">
        <v>1476</v>
      </c>
    </row>
    <row r="1017" spans="1:15" x14ac:dyDescent="0.6">
      <c r="I1017" s="2">
        <v>4</v>
      </c>
      <c r="J1017" s="2">
        <v>4</v>
      </c>
      <c r="K1017" t="s">
        <v>66</v>
      </c>
      <c r="L1017" t="str">
        <f t="shared" si="19"/>
        <v>Z</v>
      </c>
      <c r="M1017" t="s">
        <v>3</v>
      </c>
      <c r="N1017" t="s">
        <v>1467</v>
      </c>
      <c r="O1017" t="s">
        <v>1477</v>
      </c>
    </row>
    <row r="1018" spans="1:15" x14ac:dyDescent="0.6">
      <c r="I1018" s="2">
        <v>5</v>
      </c>
      <c r="J1018" s="2">
        <v>5</v>
      </c>
      <c r="K1018" t="s">
        <v>66</v>
      </c>
      <c r="L1018" t="str">
        <f t="shared" si="19"/>
        <v>Z</v>
      </c>
      <c r="M1018" t="s">
        <v>4</v>
      </c>
      <c r="N1018" t="s">
        <v>1467</v>
      </c>
      <c r="O1018" t="s">
        <v>1478</v>
      </c>
    </row>
    <row r="1019" spans="1:15" x14ac:dyDescent="0.6">
      <c r="I1019" s="2">
        <v>6</v>
      </c>
      <c r="J1019" s="2">
        <v>6</v>
      </c>
      <c r="K1019" t="s">
        <v>17</v>
      </c>
      <c r="L1019" t="str">
        <f t="shared" ref="L1019:L1030" si="21">IFERROR(INDEX($R$2:$R$99,MATCH(K1019,$Q$2:$Q$99,0)),"")</f>
        <v>T</v>
      </c>
      <c r="M1019" t="s">
        <v>4</v>
      </c>
      <c r="N1019" t="s">
        <v>1466</v>
      </c>
      <c r="O1019" t="s">
        <v>1479</v>
      </c>
    </row>
    <row r="1020" spans="1:15" x14ac:dyDescent="0.6">
      <c r="I1020" s="2">
        <v>7</v>
      </c>
      <c r="J1020" s="2" t="s">
        <v>1469</v>
      </c>
      <c r="K1020" t="s">
        <v>25</v>
      </c>
      <c r="L1020" t="str">
        <f t="shared" si="21"/>
        <v>T</v>
      </c>
      <c r="M1020" t="s">
        <v>3</v>
      </c>
      <c r="N1020" t="s">
        <v>1468</v>
      </c>
      <c r="O1020" t="s">
        <v>1480</v>
      </c>
    </row>
    <row r="1021" spans="1:15" x14ac:dyDescent="0.6">
      <c r="A1021" t="s">
        <v>1465</v>
      </c>
      <c r="B1021" t="s">
        <v>23</v>
      </c>
      <c r="C1021" t="s">
        <v>171</v>
      </c>
      <c r="D1021" t="str">
        <f>IF(E1021&gt;F1021,"승",IF(E1021&lt;F1021,"패"))</f>
        <v>패</v>
      </c>
      <c r="E1021">
        <f>COUNTIF(M1021:M1025,"승")</f>
        <v>1</v>
      </c>
      <c r="F1021">
        <f>COUNTA(M1021:M1025)-E1021</f>
        <v>4</v>
      </c>
      <c r="G1021" s="1">
        <f>E1021/(E1021+F1021)</f>
        <v>0.2</v>
      </c>
      <c r="I1021" s="2">
        <v>1</v>
      </c>
      <c r="J1021" t="s">
        <v>1455</v>
      </c>
      <c r="K1021" t="s">
        <v>17</v>
      </c>
      <c r="L1021" t="str">
        <f>IFERROR(INDEX($R$2:$R$99,MATCH(K1021,$Q$2:$Q$99,0)),"")</f>
        <v>T</v>
      </c>
      <c r="M1021" t="s">
        <v>4</v>
      </c>
      <c r="N1021" t="s">
        <v>1466</v>
      </c>
      <c r="O1021" t="s">
        <v>1470</v>
      </c>
    </row>
    <row r="1022" spans="1:15" x14ac:dyDescent="0.6">
      <c r="I1022" s="2">
        <v>2</v>
      </c>
      <c r="J1022" s="2">
        <v>2</v>
      </c>
      <c r="K1022" t="s">
        <v>66</v>
      </c>
      <c r="L1022" t="str">
        <f>IFERROR(INDEX($R$2:$R$99,MATCH(K1022,$Q$2:$Q$99,0)),"")</f>
        <v>Z</v>
      </c>
      <c r="M1022" t="s">
        <v>3</v>
      </c>
      <c r="N1022" t="s">
        <v>1467</v>
      </c>
      <c r="O1022" t="s">
        <v>1499</v>
      </c>
    </row>
    <row r="1023" spans="1:15" x14ac:dyDescent="0.6">
      <c r="I1023" s="2">
        <v>3</v>
      </c>
      <c r="J1023" s="2">
        <v>3</v>
      </c>
      <c r="K1023" t="s">
        <v>16</v>
      </c>
      <c r="L1023" t="str">
        <f>IFERROR(INDEX($R$2:$R$99,MATCH(K1023,$Q$2:$Q$99,0)),"")</f>
        <v>T</v>
      </c>
      <c r="M1023" t="s">
        <v>4</v>
      </c>
      <c r="N1023" t="s">
        <v>72</v>
      </c>
      <c r="O1023" t="s">
        <v>1471</v>
      </c>
    </row>
    <row r="1024" spans="1:15" x14ac:dyDescent="0.6">
      <c r="I1024" s="2">
        <v>4</v>
      </c>
      <c r="J1024" s="2">
        <v>4</v>
      </c>
      <c r="K1024" t="s">
        <v>25</v>
      </c>
      <c r="L1024" t="str">
        <f>IFERROR(INDEX($R$2:$R$99,MATCH(K1024,$Q$2:$Q$99,0)),"")</f>
        <v>T</v>
      </c>
      <c r="M1024" t="s">
        <v>4</v>
      </c>
      <c r="N1024" t="s">
        <v>1468</v>
      </c>
      <c r="O1024" t="s">
        <v>1472</v>
      </c>
    </row>
    <row r="1025" spans="1:15" x14ac:dyDescent="0.6">
      <c r="I1025" s="2">
        <v>5</v>
      </c>
      <c r="J1025" s="2">
        <v>5</v>
      </c>
      <c r="K1025" t="s">
        <v>25</v>
      </c>
      <c r="L1025" t="str">
        <f>IFERROR(INDEX($R$2:$R$99,MATCH(K1025,$Q$2:$Q$99,0)),"")</f>
        <v>T</v>
      </c>
      <c r="M1025" t="s">
        <v>4</v>
      </c>
      <c r="N1025" t="s">
        <v>1468</v>
      </c>
      <c r="O1025" t="s">
        <v>1473</v>
      </c>
    </row>
    <row r="1026" spans="1:15" x14ac:dyDescent="0.6">
      <c r="A1026" t="s">
        <v>1481</v>
      </c>
      <c r="B1026" t="s">
        <v>23</v>
      </c>
      <c r="C1026" t="s">
        <v>171</v>
      </c>
      <c r="D1026" t="str">
        <f>IF(E1026&gt;F1026,"승",IF(E1026&lt;F1026,"패"))</f>
        <v>승</v>
      </c>
      <c r="E1026">
        <f>COUNTIF(M1026:M1033,"승")</f>
        <v>5</v>
      </c>
      <c r="F1026">
        <f>COUNTA(M1026:M1033)-E1026</f>
        <v>3</v>
      </c>
      <c r="G1026" s="1">
        <f>E1026/(E1026+F1026)</f>
        <v>0.625</v>
      </c>
      <c r="I1026" s="2">
        <v>1</v>
      </c>
      <c r="J1026" t="s">
        <v>1455</v>
      </c>
      <c r="K1026" t="s">
        <v>17</v>
      </c>
      <c r="L1026" t="str">
        <f t="shared" si="21"/>
        <v>T</v>
      </c>
      <c r="M1026" t="s">
        <v>4</v>
      </c>
      <c r="N1026" t="s">
        <v>1484</v>
      </c>
      <c r="O1026" t="s">
        <v>1487</v>
      </c>
    </row>
    <row r="1027" spans="1:15" x14ac:dyDescent="0.6">
      <c r="I1027" s="2">
        <v>2</v>
      </c>
      <c r="J1027" s="2">
        <v>2</v>
      </c>
      <c r="K1027" t="s">
        <v>19</v>
      </c>
      <c r="L1027" t="str">
        <f t="shared" si="21"/>
        <v>P</v>
      </c>
      <c r="M1027" t="s">
        <v>3</v>
      </c>
      <c r="N1027" t="s">
        <v>1486</v>
      </c>
      <c r="O1027" t="s">
        <v>1488</v>
      </c>
    </row>
    <row r="1028" spans="1:15" x14ac:dyDescent="0.6">
      <c r="I1028" s="2">
        <v>3</v>
      </c>
      <c r="J1028" s="2">
        <v>3</v>
      </c>
      <c r="K1028" t="s">
        <v>8</v>
      </c>
      <c r="L1028" t="str">
        <f t="shared" si="21"/>
        <v>P</v>
      </c>
      <c r="M1028" t="s">
        <v>3</v>
      </c>
      <c r="N1028" t="s">
        <v>1482</v>
      </c>
      <c r="O1028" t="s">
        <v>1489</v>
      </c>
    </row>
    <row r="1029" spans="1:15" x14ac:dyDescent="0.6">
      <c r="I1029" s="2">
        <v>4</v>
      </c>
      <c r="J1029" s="2">
        <v>4</v>
      </c>
      <c r="K1029" t="s">
        <v>16</v>
      </c>
      <c r="L1029" t="str">
        <f t="shared" si="21"/>
        <v>T</v>
      </c>
      <c r="M1029" t="s">
        <v>4</v>
      </c>
      <c r="N1029" t="s">
        <v>1483</v>
      </c>
      <c r="O1029" t="s">
        <v>1490</v>
      </c>
    </row>
    <row r="1030" spans="1:15" x14ac:dyDescent="0.6">
      <c r="I1030" s="2">
        <v>5</v>
      </c>
      <c r="J1030" s="2">
        <v>5</v>
      </c>
      <c r="K1030" t="s">
        <v>49</v>
      </c>
      <c r="L1030" t="str">
        <f t="shared" si="21"/>
        <v>P</v>
      </c>
      <c r="M1030" t="s">
        <v>3</v>
      </c>
      <c r="N1030" t="s">
        <v>1485</v>
      </c>
      <c r="O1030" t="s">
        <v>1491</v>
      </c>
    </row>
    <row r="1031" spans="1:15" x14ac:dyDescent="0.6">
      <c r="I1031" s="2">
        <v>6</v>
      </c>
      <c r="J1031" s="2">
        <v>6</v>
      </c>
      <c r="K1031" t="s">
        <v>49</v>
      </c>
      <c r="L1031" t="str">
        <f t="shared" ref="L1031:L1038" si="22">IFERROR(INDEX($R$2:$R$99,MATCH(K1031,$Q$2:$Q$99,0)),"")</f>
        <v>P</v>
      </c>
      <c r="M1031" t="s">
        <v>3</v>
      </c>
      <c r="N1031" t="s">
        <v>1485</v>
      </c>
      <c r="O1031" t="s">
        <v>1492</v>
      </c>
    </row>
    <row r="1032" spans="1:15" x14ac:dyDescent="0.6">
      <c r="I1032" s="2">
        <v>7</v>
      </c>
      <c r="J1032" s="2">
        <v>7</v>
      </c>
      <c r="K1032" t="s">
        <v>17</v>
      </c>
      <c r="L1032" t="str">
        <f t="shared" si="22"/>
        <v>T</v>
      </c>
      <c r="M1032" t="s">
        <v>4</v>
      </c>
      <c r="N1032" t="s">
        <v>1484</v>
      </c>
      <c r="O1032" t="s">
        <v>1493</v>
      </c>
    </row>
    <row r="1033" spans="1:15" x14ac:dyDescent="0.6">
      <c r="I1033" s="2">
        <v>8</v>
      </c>
      <c r="J1033" s="2">
        <v>8</v>
      </c>
      <c r="K1033" t="s">
        <v>8</v>
      </c>
      <c r="L1033" t="str">
        <f t="shared" si="22"/>
        <v>P</v>
      </c>
      <c r="M1033" t="s">
        <v>3</v>
      </c>
      <c r="N1033" t="s">
        <v>1482</v>
      </c>
      <c r="O1033" t="s">
        <v>1494</v>
      </c>
    </row>
    <row r="1034" spans="1:15" x14ac:dyDescent="0.6">
      <c r="A1034" t="s">
        <v>1498</v>
      </c>
      <c r="B1034" t="s">
        <v>23</v>
      </c>
      <c r="C1034" t="s">
        <v>171</v>
      </c>
      <c r="D1034" t="str">
        <f>IF(E1034&gt;F1034,"승",IF(E1034&lt;F1034,"패"))</f>
        <v>승</v>
      </c>
      <c r="E1034">
        <f>COUNTIF(M1034:M1037,"승")</f>
        <v>3</v>
      </c>
      <c r="F1034">
        <f>COUNTA(M1034:M1037)-E1034</f>
        <v>1</v>
      </c>
      <c r="G1034" s="1">
        <f>E1034/(E1034+F1034)</f>
        <v>0.75</v>
      </c>
      <c r="I1034" s="2">
        <v>1</v>
      </c>
      <c r="J1034" t="s">
        <v>1455</v>
      </c>
      <c r="K1034" t="s">
        <v>16</v>
      </c>
      <c r="L1034" t="str">
        <f t="shared" si="22"/>
        <v>T</v>
      </c>
      <c r="M1034" t="s">
        <v>4</v>
      </c>
      <c r="N1034" t="s">
        <v>1495</v>
      </c>
      <c r="O1034" t="s">
        <v>1500</v>
      </c>
    </row>
    <row r="1035" spans="1:15" x14ac:dyDescent="0.6">
      <c r="I1035" s="2">
        <v>2</v>
      </c>
      <c r="J1035" s="2">
        <v>2</v>
      </c>
      <c r="K1035" t="s">
        <v>17</v>
      </c>
      <c r="L1035" t="str">
        <f t="shared" si="22"/>
        <v>T</v>
      </c>
      <c r="M1035" t="s">
        <v>3</v>
      </c>
      <c r="N1035" t="s">
        <v>1496</v>
      </c>
      <c r="O1035" t="s">
        <v>1501</v>
      </c>
    </row>
    <row r="1036" spans="1:15" x14ac:dyDescent="0.6">
      <c r="I1036" s="2">
        <v>3</v>
      </c>
      <c r="J1036" s="2">
        <v>3</v>
      </c>
      <c r="K1036" t="s">
        <v>19</v>
      </c>
      <c r="L1036" t="str">
        <f t="shared" si="22"/>
        <v>P</v>
      </c>
      <c r="M1036" t="s">
        <v>3</v>
      </c>
      <c r="N1036" t="s">
        <v>1497</v>
      </c>
      <c r="O1036" t="s">
        <v>1502</v>
      </c>
    </row>
    <row r="1037" spans="1:15" x14ac:dyDescent="0.6">
      <c r="I1037" s="2">
        <v>4</v>
      </c>
      <c r="J1037" s="2">
        <v>4</v>
      </c>
      <c r="K1037" t="s">
        <v>17</v>
      </c>
      <c r="L1037" t="str">
        <f t="shared" si="22"/>
        <v>T</v>
      </c>
      <c r="M1037" t="s">
        <v>3</v>
      </c>
      <c r="N1037" t="s">
        <v>1496</v>
      </c>
      <c r="O1037" t="s">
        <v>1503</v>
      </c>
    </row>
    <row r="1038" spans="1:15" x14ac:dyDescent="0.6">
      <c r="A1038" t="s">
        <v>1520</v>
      </c>
      <c r="B1038" t="s">
        <v>1504</v>
      </c>
      <c r="C1038" t="s">
        <v>94</v>
      </c>
      <c r="D1038" t="str">
        <f>IF(E1038&gt;F1038,"승",IF(E1038&lt;F1038,"패"))</f>
        <v>승</v>
      </c>
      <c r="E1038">
        <f>COUNTIF(M1038:M1046,"승")</f>
        <v>6</v>
      </c>
      <c r="F1038">
        <f>COUNTA(M1038:M1046)-E1038</f>
        <v>3</v>
      </c>
      <c r="G1038" s="1">
        <f>E1038/(E1038+F1038)</f>
        <v>0.66666666666666663</v>
      </c>
      <c r="H1038" s="1" t="s">
        <v>46</v>
      </c>
      <c r="I1038" s="2">
        <v>1</v>
      </c>
      <c r="J1038" t="s">
        <v>1455</v>
      </c>
      <c r="K1038" t="s">
        <v>39</v>
      </c>
      <c r="L1038" t="str">
        <f t="shared" si="22"/>
        <v>Z</v>
      </c>
      <c r="M1038" t="s">
        <v>4</v>
      </c>
      <c r="N1038" t="s">
        <v>1505</v>
      </c>
      <c r="O1038" t="s">
        <v>1511</v>
      </c>
    </row>
    <row r="1039" spans="1:15" x14ac:dyDescent="0.6">
      <c r="I1039" s="2">
        <v>2</v>
      </c>
      <c r="J1039" s="2">
        <v>2</v>
      </c>
      <c r="K1039" t="s">
        <v>49</v>
      </c>
      <c r="L1039" t="str">
        <f t="shared" si="19"/>
        <v>P</v>
      </c>
      <c r="M1039" t="s">
        <v>3</v>
      </c>
      <c r="N1039" t="s">
        <v>1506</v>
      </c>
      <c r="O1039" t="s">
        <v>1512</v>
      </c>
    </row>
    <row r="1040" spans="1:15" x14ac:dyDescent="0.6">
      <c r="I1040" s="2">
        <v>3</v>
      </c>
      <c r="J1040" s="2">
        <v>3</v>
      </c>
      <c r="K1040" t="s">
        <v>25</v>
      </c>
      <c r="L1040" t="str">
        <f t="shared" si="19"/>
        <v>T</v>
      </c>
      <c r="M1040" t="s">
        <v>3</v>
      </c>
      <c r="N1040" t="s">
        <v>1509</v>
      </c>
      <c r="O1040" t="s">
        <v>1514</v>
      </c>
    </row>
    <row r="1041" spans="1:15" x14ac:dyDescent="0.6">
      <c r="I1041" s="2">
        <v>4</v>
      </c>
      <c r="J1041" s="2">
        <v>4</v>
      </c>
      <c r="K1041" t="s">
        <v>19</v>
      </c>
      <c r="L1041" t="str">
        <f t="shared" si="19"/>
        <v>P</v>
      </c>
      <c r="M1041" t="s">
        <v>3</v>
      </c>
      <c r="N1041" t="s">
        <v>1507</v>
      </c>
      <c r="O1041" t="s">
        <v>1513</v>
      </c>
    </row>
    <row r="1042" spans="1:15" x14ac:dyDescent="0.6">
      <c r="I1042" s="2">
        <v>5</v>
      </c>
      <c r="J1042" t="s">
        <v>1455</v>
      </c>
      <c r="K1042" t="s">
        <v>18</v>
      </c>
      <c r="L1042" t="str">
        <f t="shared" si="19"/>
        <v>Z</v>
      </c>
      <c r="M1042" t="s">
        <v>3</v>
      </c>
      <c r="N1042" t="s">
        <v>1508</v>
      </c>
      <c r="O1042" t="s">
        <v>1515</v>
      </c>
    </row>
    <row r="1043" spans="1:15" x14ac:dyDescent="0.6">
      <c r="I1043" s="2">
        <v>6</v>
      </c>
      <c r="J1043" s="2">
        <v>2</v>
      </c>
      <c r="K1043" t="s">
        <v>19</v>
      </c>
      <c r="L1043" t="str">
        <f t="shared" si="19"/>
        <v>P</v>
      </c>
      <c r="M1043" t="s">
        <v>4</v>
      </c>
      <c r="N1043" t="s">
        <v>1507</v>
      </c>
      <c r="O1043" t="s">
        <v>1516</v>
      </c>
    </row>
    <row r="1044" spans="1:15" x14ac:dyDescent="0.6">
      <c r="I1044" s="2">
        <v>7</v>
      </c>
      <c r="J1044" s="2">
        <v>3</v>
      </c>
      <c r="K1044" t="s">
        <v>25</v>
      </c>
      <c r="L1044" t="str">
        <f t="shared" si="19"/>
        <v>T</v>
      </c>
      <c r="M1044" t="s">
        <v>4</v>
      </c>
      <c r="N1044" t="s">
        <v>1509</v>
      </c>
      <c r="O1044" t="s">
        <v>1517</v>
      </c>
    </row>
    <row r="1045" spans="1:15" x14ac:dyDescent="0.6">
      <c r="I1045" s="2">
        <v>8</v>
      </c>
      <c r="J1045" s="2">
        <v>4</v>
      </c>
      <c r="K1045" t="s">
        <v>49</v>
      </c>
      <c r="L1045" t="str">
        <f t="shared" si="19"/>
        <v>P</v>
      </c>
      <c r="M1045" t="s">
        <v>3</v>
      </c>
      <c r="N1045" t="s">
        <v>1510</v>
      </c>
      <c r="O1045" t="s">
        <v>1518</v>
      </c>
    </row>
    <row r="1046" spans="1:15" x14ac:dyDescent="0.6">
      <c r="I1046" s="2">
        <v>9</v>
      </c>
      <c r="J1046" s="2">
        <v>5</v>
      </c>
      <c r="K1046" t="s">
        <v>39</v>
      </c>
      <c r="L1046" t="str">
        <f t="shared" si="19"/>
        <v>Z</v>
      </c>
      <c r="M1046" t="s">
        <v>3</v>
      </c>
      <c r="N1046" t="s">
        <v>1505</v>
      </c>
      <c r="O1046" t="s">
        <v>1519</v>
      </c>
    </row>
    <row r="1047" spans="1:15" x14ac:dyDescent="0.6">
      <c r="A1047" t="s">
        <v>1521</v>
      </c>
      <c r="B1047" t="s">
        <v>82</v>
      </c>
      <c r="C1047" t="s">
        <v>94</v>
      </c>
      <c r="D1047" t="str">
        <f>IF(E1047&gt;F1047,"승",IF(E1047&lt;F1047,"패"))</f>
        <v>패</v>
      </c>
      <c r="E1047">
        <f>COUNTIF(M1047:M1053,"승")</f>
        <v>3</v>
      </c>
      <c r="F1047">
        <f>COUNTA(M1047:M1053)-E1047</f>
        <v>4</v>
      </c>
      <c r="G1047" s="1">
        <f>E1047/(E1047+F1047)</f>
        <v>0.42857142857142855</v>
      </c>
      <c r="H1047" s="1" t="s">
        <v>119</v>
      </c>
      <c r="I1047" s="2">
        <v>1</v>
      </c>
      <c r="J1047" t="s">
        <v>1455</v>
      </c>
      <c r="K1047" t="s">
        <v>19</v>
      </c>
      <c r="L1047" t="str">
        <f t="shared" si="19"/>
        <v>P</v>
      </c>
      <c r="M1047" t="s">
        <v>4</v>
      </c>
      <c r="N1047" t="s">
        <v>1522</v>
      </c>
      <c r="O1047" t="s">
        <v>1529</v>
      </c>
    </row>
    <row r="1048" spans="1:15" x14ac:dyDescent="0.6">
      <c r="I1048" s="2">
        <v>2</v>
      </c>
      <c r="J1048" s="2">
        <v>2</v>
      </c>
      <c r="K1048" t="s">
        <v>17</v>
      </c>
      <c r="L1048" t="str">
        <f t="shared" si="19"/>
        <v>T</v>
      </c>
      <c r="M1048" t="s">
        <v>4</v>
      </c>
      <c r="N1048" t="s">
        <v>1523</v>
      </c>
      <c r="O1048" t="s">
        <v>1530</v>
      </c>
    </row>
    <row r="1049" spans="1:15" x14ac:dyDescent="0.6">
      <c r="I1049" s="2">
        <v>3</v>
      </c>
      <c r="J1049" s="2">
        <v>3</v>
      </c>
      <c r="K1049" t="s">
        <v>1525</v>
      </c>
      <c r="L1049" t="str">
        <f t="shared" si="19"/>
        <v>Z</v>
      </c>
      <c r="M1049" t="s">
        <v>4</v>
      </c>
      <c r="N1049" t="s">
        <v>1528</v>
      </c>
      <c r="O1049" t="s">
        <v>1531</v>
      </c>
    </row>
    <row r="1050" spans="1:15" x14ac:dyDescent="0.6">
      <c r="I1050" s="2">
        <v>4</v>
      </c>
      <c r="J1050" t="s">
        <v>1455</v>
      </c>
      <c r="K1050" t="s">
        <v>1526</v>
      </c>
      <c r="L1050" t="str">
        <f t="shared" si="19"/>
        <v>Z</v>
      </c>
      <c r="M1050" t="s">
        <v>3</v>
      </c>
      <c r="N1050" t="s">
        <v>1527</v>
      </c>
      <c r="O1050" t="s">
        <v>1532</v>
      </c>
    </row>
    <row r="1051" spans="1:15" x14ac:dyDescent="0.6">
      <c r="I1051" s="2">
        <v>5</v>
      </c>
      <c r="J1051" s="2">
        <v>2</v>
      </c>
      <c r="K1051" t="s">
        <v>16</v>
      </c>
      <c r="L1051" t="str">
        <f t="shared" si="19"/>
        <v>T</v>
      </c>
      <c r="M1051" t="s">
        <v>3</v>
      </c>
      <c r="N1051" t="s">
        <v>1524</v>
      </c>
      <c r="O1051" t="s">
        <v>1533</v>
      </c>
    </row>
    <row r="1052" spans="1:15" x14ac:dyDescent="0.6">
      <c r="I1052" s="2">
        <v>6</v>
      </c>
      <c r="J1052" s="2">
        <v>3</v>
      </c>
      <c r="K1052" t="s">
        <v>66</v>
      </c>
      <c r="L1052" t="str">
        <f t="shared" si="19"/>
        <v>Z</v>
      </c>
      <c r="M1052" t="s">
        <v>3</v>
      </c>
      <c r="N1052" t="s">
        <v>1528</v>
      </c>
      <c r="O1052" t="s">
        <v>1534</v>
      </c>
    </row>
    <row r="1053" spans="1:15" x14ac:dyDescent="0.6">
      <c r="I1053" s="2">
        <v>7</v>
      </c>
      <c r="J1053" t="s">
        <v>557</v>
      </c>
      <c r="K1053" t="s">
        <v>19</v>
      </c>
      <c r="L1053" t="str">
        <f>IFERROR(INDEX($R$2:$R$99,MATCH(K1053,$Q$2:$Q$99,0)),"")</f>
        <v>P</v>
      </c>
      <c r="M1053" t="s">
        <v>4</v>
      </c>
      <c r="N1053" t="s">
        <v>1522</v>
      </c>
      <c r="O1053" t="s">
        <v>1535</v>
      </c>
    </row>
    <row r="1054" spans="1:15" x14ac:dyDescent="0.6">
      <c r="A1054" t="s">
        <v>1536</v>
      </c>
      <c r="B1054" t="s">
        <v>215</v>
      </c>
      <c r="C1054" t="s">
        <v>94</v>
      </c>
      <c r="D1054" t="str">
        <f>IF(E1054&gt;F1054,"승",IF(E1054&lt;F1054,"패"))</f>
        <v>패</v>
      </c>
      <c r="E1054">
        <f>COUNTIF(M1054:M1061,"승")</f>
        <v>2</v>
      </c>
      <c r="F1054">
        <f>COUNTA(M1054:M1061)-E1054</f>
        <v>6</v>
      </c>
      <c r="G1054" s="1">
        <f>E1054/(E1054+F1054)</f>
        <v>0.25</v>
      </c>
      <c r="H1054" s="1" t="s">
        <v>144</v>
      </c>
      <c r="I1054" s="2">
        <v>1</v>
      </c>
      <c r="J1054" t="s">
        <v>1455</v>
      </c>
      <c r="K1054" t="s">
        <v>8</v>
      </c>
      <c r="L1054" t="str">
        <f>IFERROR(INDEX($R$2:$R$99,MATCH(K1054,$Q$2:$Q$99,0)),"")</f>
        <v>P</v>
      </c>
      <c r="M1054" t="s">
        <v>4</v>
      </c>
      <c r="N1054" t="s">
        <v>1538</v>
      </c>
    </row>
    <row r="1055" spans="1:15" x14ac:dyDescent="0.6">
      <c r="I1055" s="2">
        <v>2</v>
      </c>
      <c r="J1055" s="2">
        <v>2</v>
      </c>
      <c r="K1055" t="s">
        <v>1537</v>
      </c>
      <c r="L1055" t="str">
        <f t="shared" si="19"/>
        <v>Z</v>
      </c>
      <c r="M1055" t="s">
        <v>4</v>
      </c>
      <c r="N1055" t="s">
        <v>1539</v>
      </c>
    </row>
    <row r="1056" spans="1:15" x14ac:dyDescent="0.6">
      <c r="I1056" s="2">
        <v>3</v>
      </c>
      <c r="J1056" s="2">
        <v>3</v>
      </c>
      <c r="K1056" t="s">
        <v>66</v>
      </c>
      <c r="L1056" t="str">
        <f t="shared" si="19"/>
        <v>Z</v>
      </c>
      <c r="M1056" t="s">
        <v>4</v>
      </c>
      <c r="N1056" t="s">
        <v>1540</v>
      </c>
    </row>
    <row r="1057" spans="9:14" x14ac:dyDescent="0.6">
      <c r="I1057" s="2">
        <v>4</v>
      </c>
      <c r="J1057" t="s">
        <v>1455</v>
      </c>
      <c r="K1057" t="s">
        <v>49</v>
      </c>
      <c r="L1057" t="str">
        <f t="shared" si="19"/>
        <v>P</v>
      </c>
      <c r="M1057" t="s">
        <v>3</v>
      </c>
      <c r="N1057" t="s">
        <v>1541</v>
      </c>
    </row>
    <row r="1058" spans="9:14" x14ac:dyDescent="0.6">
      <c r="I1058" s="2">
        <v>5</v>
      </c>
      <c r="J1058" s="2">
        <v>2</v>
      </c>
      <c r="K1058" t="s">
        <v>19</v>
      </c>
      <c r="L1058" t="str">
        <f t="shared" si="19"/>
        <v>P</v>
      </c>
      <c r="M1058" t="s">
        <v>3</v>
      </c>
      <c r="N1058" t="s">
        <v>1542</v>
      </c>
    </row>
    <row r="1059" spans="9:14" x14ac:dyDescent="0.6">
      <c r="I1059" s="2">
        <v>6</v>
      </c>
      <c r="J1059" s="2">
        <v>3</v>
      </c>
      <c r="K1059" t="s">
        <v>66</v>
      </c>
      <c r="L1059" t="str">
        <f t="shared" ref="L1059:L1060" si="23">IFERROR(INDEX($R$2:$R$99,MATCH(K1059,$Q$2:$Q$99,0)),"")</f>
        <v>Z</v>
      </c>
      <c r="M1059" t="s">
        <v>4</v>
      </c>
      <c r="N1059" t="s">
        <v>1540</v>
      </c>
    </row>
    <row r="1060" spans="9:14" x14ac:dyDescent="0.6">
      <c r="I1060" s="2">
        <v>7</v>
      </c>
      <c r="J1060" s="2">
        <v>4</v>
      </c>
      <c r="K1060" t="s">
        <v>1537</v>
      </c>
      <c r="L1060" t="str">
        <f t="shared" si="23"/>
        <v>Z</v>
      </c>
      <c r="M1060" t="s">
        <v>4</v>
      </c>
      <c r="N1060" t="s">
        <v>1539</v>
      </c>
    </row>
    <row r="1061" spans="9:14" x14ac:dyDescent="0.6">
      <c r="I1061" s="2">
        <v>8</v>
      </c>
      <c r="J1061" s="2">
        <v>5</v>
      </c>
      <c r="K1061" t="s">
        <v>8</v>
      </c>
      <c r="L1061" t="str">
        <f>IFERROR(INDEX($R$2:$R$99,MATCH(K1061,$Q$2:$Q$99,0)),"")</f>
        <v>P</v>
      </c>
      <c r="M1061" t="s">
        <v>4</v>
      </c>
      <c r="N1061" t="s">
        <v>1538</v>
      </c>
    </row>
    <row r="1062" spans="9:14" x14ac:dyDescent="0.6">
      <c r="L1062" t="str">
        <f t="shared" ref="L1061:L1124" si="24">IFERROR(INDEX($R$2:$R$99,MATCH(K1062,$Q$2:$Q$99,0)),"")</f>
        <v/>
      </c>
    </row>
    <row r="1063" spans="9:14" x14ac:dyDescent="0.6">
      <c r="L1063" t="str">
        <f t="shared" si="24"/>
        <v/>
      </c>
    </row>
    <row r="1064" spans="9:14" x14ac:dyDescent="0.6">
      <c r="L1064" t="str">
        <f t="shared" si="24"/>
        <v/>
      </c>
    </row>
    <row r="1065" spans="9:14" x14ac:dyDescent="0.6">
      <c r="L1065" t="str">
        <f t="shared" si="24"/>
        <v/>
      </c>
    </row>
    <row r="1066" spans="9:14" x14ac:dyDescent="0.6">
      <c r="L1066" t="str">
        <f t="shared" si="24"/>
        <v/>
      </c>
    </row>
    <row r="1067" spans="9:14" x14ac:dyDescent="0.6">
      <c r="L1067" t="str">
        <f t="shared" si="24"/>
        <v/>
      </c>
    </row>
    <row r="1068" spans="9:14" x14ac:dyDescent="0.6">
      <c r="L1068" t="str">
        <f t="shared" si="24"/>
        <v/>
      </c>
    </row>
    <row r="1069" spans="9:14" x14ac:dyDescent="0.6">
      <c r="L1069" t="str">
        <f t="shared" si="24"/>
        <v/>
      </c>
    </row>
    <row r="1070" spans="9:14" x14ac:dyDescent="0.6">
      <c r="L1070" t="str">
        <f t="shared" si="24"/>
        <v/>
      </c>
    </row>
    <row r="1071" spans="9:14" x14ac:dyDescent="0.6">
      <c r="L1071" t="str">
        <f t="shared" si="24"/>
        <v/>
      </c>
    </row>
    <row r="1072" spans="9:14" x14ac:dyDescent="0.6">
      <c r="L1072" t="str">
        <f t="shared" si="24"/>
        <v/>
      </c>
    </row>
    <row r="1073" spans="12:12" x14ac:dyDescent="0.6">
      <c r="L1073" t="str">
        <f t="shared" si="24"/>
        <v/>
      </c>
    </row>
    <row r="1074" spans="12:12" x14ac:dyDescent="0.6">
      <c r="L1074" t="str">
        <f t="shared" si="24"/>
        <v/>
      </c>
    </row>
    <row r="1075" spans="12:12" x14ac:dyDescent="0.6">
      <c r="L1075" t="str">
        <f t="shared" si="24"/>
        <v/>
      </c>
    </row>
    <row r="1076" spans="12:12" x14ac:dyDescent="0.6">
      <c r="L1076" t="str">
        <f t="shared" si="24"/>
        <v/>
      </c>
    </row>
    <row r="1077" spans="12:12" x14ac:dyDescent="0.6">
      <c r="L1077" t="str">
        <f t="shared" si="24"/>
        <v/>
      </c>
    </row>
    <row r="1078" spans="12:12" x14ac:dyDescent="0.6">
      <c r="L1078" t="str">
        <f t="shared" si="24"/>
        <v/>
      </c>
    </row>
    <row r="1079" spans="12:12" x14ac:dyDescent="0.6">
      <c r="L1079" t="str">
        <f t="shared" si="24"/>
        <v/>
      </c>
    </row>
    <row r="1080" spans="12:12" x14ac:dyDescent="0.6">
      <c r="L1080" t="str">
        <f t="shared" si="24"/>
        <v/>
      </c>
    </row>
    <row r="1081" spans="12:12" x14ac:dyDescent="0.6">
      <c r="L1081" t="str">
        <f t="shared" si="24"/>
        <v/>
      </c>
    </row>
    <row r="1082" spans="12:12" x14ac:dyDescent="0.6">
      <c r="L1082" t="str">
        <f t="shared" si="24"/>
        <v/>
      </c>
    </row>
    <row r="1083" spans="12:12" x14ac:dyDescent="0.6">
      <c r="L1083" t="str">
        <f t="shared" si="24"/>
        <v/>
      </c>
    </row>
    <row r="1084" spans="12:12" x14ac:dyDescent="0.6">
      <c r="L1084" t="str">
        <f t="shared" si="24"/>
        <v/>
      </c>
    </row>
    <row r="1085" spans="12:12" x14ac:dyDescent="0.6">
      <c r="L1085" t="str">
        <f t="shared" si="24"/>
        <v/>
      </c>
    </row>
    <row r="1086" spans="12:12" x14ac:dyDescent="0.6">
      <c r="L1086" t="str">
        <f t="shared" si="24"/>
        <v/>
      </c>
    </row>
    <row r="1087" spans="12:12" x14ac:dyDescent="0.6">
      <c r="L1087" t="str">
        <f t="shared" si="24"/>
        <v/>
      </c>
    </row>
    <row r="1088" spans="12:12" x14ac:dyDescent="0.6">
      <c r="L1088" t="str">
        <f t="shared" si="24"/>
        <v/>
      </c>
    </row>
    <row r="1089" spans="12:12" x14ac:dyDescent="0.6">
      <c r="L1089" t="str">
        <f t="shared" si="24"/>
        <v/>
      </c>
    </row>
    <row r="1090" spans="12:12" x14ac:dyDescent="0.6">
      <c r="L1090" t="str">
        <f t="shared" si="24"/>
        <v/>
      </c>
    </row>
    <row r="1091" spans="12:12" x14ac:dyDescent="0.6">
      <c r="L1091" t="str">
        <f t="shared" si="24"/>
        <v/>
      </c>
    </row>
    <row r="1092" spans="12:12" x14ac:dyDescent="0.6">
      <c r="L1092" t="str">
        <f t="shared" si="24"/>
        <v/>
      </c>
    </row>
    <row r="1093" spans="12:12" x14ac:dyDescent="0.6">
      <c r="L1093" t="str">
        <f t="shared" si="24"/>
        <v/>
      </c>
    </row>
    <row r="1094" spans="12:12" x14ac:dyDescent="0.6">
      <c r="L1094" t="str">
        <f t="shared" si="24"/>
        <v/>
      </c>
    </row>
    <row r="1095" spans="12:12" x14ac:dyDescent="0.6">
      <c r="L1095" t="str">
        <f t="shared" si="24"/>
        <v/>
      </c>
    </row>
    <row r="1096" spans="12:12" x14ac:dyDescent="0.6">
      <c r="L1096" t="str">
        <f t="shared" si="24"/>
        <v/>
      </c>
    </row>
    <row r="1097" spans="12:12" x14ac:dyDescent="0.6">
      <c r="L1097" t="str">
        <f t="shared" si="24"/>
        <v/>
      </c>
    </row>
    <row r="1098" spans="12:12" x14ac:dyDescent="0.6">
      <c r="L1098" t="str">
        <f t="shared" si="24"/>
        <v/>
      </c>
    </row>
    <row r="1099" spans="12:12" x14ac:dyDescent="0.6">
      <c r="L1099" t="str">
        <f t="shared" si="24"/>
        <v/>
      </c>
    </row>
    <row r="1100" spans="12:12" x14ac:dyDescent="0.6">
      <c r="L1100" t="str">
        <f t="shared" si="24"/>
        <v/>
      </c>
    </row>
    <row r="1101" spans="12:12" x14ac:dyDescent="0.6">
      <c r="L1101" t="str">
        <f t="shared" si="24"/>
        <v/>
      </c>
    </row>
    <row r="1102" spans="12:12" x14ac:dyDescent="0.6">
      <c r="L1102" t="str">
        <f t="shared" si="24"/>
        <v/>
      </c>
    </row>
    <row r="1103" spans="12:12" x14ac:dyDescent="0.6">
      <c r="L1103" t="str">
        <f t="shared" si="24"/>
        <v/>
      </c>
    </row>
    <row r="1104" spans="12:12" x14ac:dyDescent="0.6">
      <c r="L1104" t="str">
        <f t="shared" si="24"/>
        <v/>
      </c>
    </row>
    <row r="1105" spans="12:12" x14ac:dyDescent="0.6">
      <c r="L1105" t="str">
        <f t="shared" si="24"/>
        <v/>
      </c>
    </row>
    <row r="1106" spans="12:12" x14ac:dyDescent="0.6">
      <c r="L1106" t="str">
        <f t="shared" si="24"/>
        <v/>
      </c>
    </row>
    <row r="1107" spans="12:12" x14ac:dyDescent="0.6">
      <c r="L1107" t="str">
        <f t="shared" si="24"/>
        <v/>
      </c>
    </row>
    <row r="1108" spans="12:12" x14ac:dyDescent="0.6">
      <c r="L1108" t="str">
        <f t="shared" si="24"/>
        <v/>
      </c>
    </row>
    <row r="1109" spans="12:12" x14ac:dyDescent="0.6">
      <c r="L1109" t="str">
        <f t="shared" si="24"/>
        <v/>
      </c>
    </row>
    <row r="1110" spans="12:12" x14ac:dyDescent="0.6">
      <c r="L1110" t="str">
        <f t="shared" si="24"/>
        <v/>
      </c>
    </row>
    <row r="1111" spans="12:12" x14ac:dyDescent="0.6">
      <c r="L1111" t="str">
        <f t="shared" si="24"/>
        <v/>
      </c>
    </row>
    <row r="1112" spans="12:12" x14ac:dyDescent="0.6">
      <c r="L1112" t="str">
        <f t="shared" si="24"/>
        <v/>
      </c>
    </row>
    <row r="1113" spans="12:12" x14ac:dyDescent="0.6">
      <c r="L1113" t="str">
        <f t="shared" si="24"/>
        <v/>
      </c>
    </row>
    <row r="1114" spans="12:12" x14ac:dyDescent="0.6">
      <c r="L1114" t="str">
        <f t="shared" si="24"/>
        <v/>
      </c>
    </row>
    <row r="1115" spans="12:12" x14ac:dyDescent="0.6">
      <c r="L1115" t="str">
        <f t="shared" si="24"/>
        <v/>
      </c>
    </row>
    <row r="1116" spans="12:12" x14ac:dyDescent="0.6">
      <c r="L1116" t="str">
        <f t="shared" si="24"/>
        <v/>
      </c>
    </row>
    <row r="1117" spans="12:12" x14ac:dyDescent="0.6">
      <c r="L1117" t="str">
        <f t="shared" si="24"/>
        <v/>
      </c>
    </row>
    <row r="1118" spans="12:12" x14ac:dyDescent="0.6">
      <c r="L1118" t="str">
        <f t="shared" si="24"/>
        <v/>
      </c>
    </row>
    <row r="1119" spans="12:12" x14ac:dyDescent="0.6">
      <c r="L1119" t="str">
        <f t="shared" si="24"/>
        <v/>
      </c>
    </row>
    <row r="1120" spans="12:12" x14ac:dyDescent="0.6">
      <c r="L1120" t="str">
        <f t="shared" si="24"/>
        <v/>
      </c>
    </row>
    <row r="1121" spans="12:12" x14ac:dyDescent="0.6">
      <c r="L1121" t="str">
        <f t="shared" si="24"/>
        <v/>
      </c>
    </row>
    <row r="1122" spans="12:12" x14ac:dyDescent="0.6">
      <c r="L1122" t="str">
        <f t="shared" si="24"/>
        <v/>
      </c>
    </row>
    <row r="1123" spans="12:12" x14ac:dyDescent="0.6">
      <c r="L1123" t="str">
        <f t="shared" si="24"/>
        <v/>
      </c>
    </row>
    <row r="1124" spans="12:12" x14ac:dyDescent="0.6">
      <c r="L1124" t="str">
        <f t="shared" si="24"/>
        <v/>
      </c>
    </row>
    <row r="1125" spans="12:12" x14ac:dyDescent="0.6">
      <c r="L1125" t="str">
        <f t="shared" ref="L1125:L1188" si="25">IFERROR(INDEX($R$2:$R$99,MATCH(K1125,$Q$2:$Q$99,0)),"")</f>
        <v/>
      </c>
    </row>
    <row r="1126" spans="12:12" x14ac:dyDescent="0.6">
      <c r="L1126" t="str">
        <f t="shared" si="25"/>
        <v/>
      </c>
    </row>
    <row r="1127" spans="12:12" x14ac:dyDescent="0.6">
      <c r="L1127" t="str">
        <f t="shared" si="25"/>
        <v/>
      </c>
    </row>
    <row r="1128" spans="12:12" x14ac:dyDescent="0.6">
      <c r="L1128" t="str">
        <f t="shared" si="25"/>
        <v/>
      </c>
    </row>
    <row r="1129" spans="12:12" x14ac:dyDescent="0.6">
      <c r="L1129" t="str">
        <f t="shared" si="25"/>
        <v/>
      </c>
    </row>
    <row r="1130" spans="12:12" x14ac:dyDescent="0.6">
      <c r="L1130" t="str">
        <f t="shared" si="25"/>
        <v/>
      </c>
    </row>
    <row r="1131" spans="12:12" x14ac:dyDescent="0.6">
      <c r="L1131" t="str">
        <f t="shared" si="25"/>
        <v/>
      </c>
    </row>
    <row r="1132" spans="12:12" x14ac:dyDescent="0.6">
      <c r="L1132" t="str">
        <f t="shared" si="25"/>
        <v/>
      </c>
    </row>
    <row r="1133" spans="12:12" x14ac:dyDescent="0.6">
      <c r="L1133" t="str">
        <f t="shared" si="25"/>
        <v/>
      </c>
    </row>
    <row r="1134" spans="12:12" x14ac:dyDescent="0.6">
      <c r="L1134" t="str">
        <f t="shared" si="25"/>
        <v/>
      </c>
    </row>
    <row r="1135" spans="12:12" x14ac:dyDescent="0.6">
      <c r="L1135" t="str">
        <f t="shared" si="25"/>
        <v/>
      </c>
    </row>
    <row r="1136" spans="12:12" x14ac:dyDescent="0.6">
      <c r="L1136" t="str">
        <f t="shared" si="25"/>
        <v/>
      </c>
    </row>
    <row r="1137" spans="12:12" x14ac:dyDescent="0.6">
      <c r="L1137" t="str">
        <f t="shared" si="25"/>
        <v/>
      </c>
    </row>
    <row r="1138" spans="12:12" x14ac:dyDescent="0.6">
      <c r="L1138" t="str">
        <f t="shared" si="25"/>
        <v/>
      </c>
    </row>
    <row r="1139" spans="12:12" x14ac:dyDescent="0.6">
      <c r="L1139" t="str">
        <f t="shared" si="25"/>
        <v/>
      </c>
    </row>
    <row r="1140" spans="12:12" x14ac:dyDescent="0.6">
      <c r="L1140" t="str">
        <f t="shared" si="25"/>
        <v/>
      </c>
    </row>
    <row r="1141" spans="12:12" x14ac:dyDescent="0.6">
      <c r="L1141" t="str">
        <f t="shared" si="25"/>
        <v/>
      </c>
    </row>
    <row r="1142" spans="12:12" x14ac:dyDescent="0.6">
      <c r="L1142" t="str">
        <f t="shared" si="25"/>
        <v/>
      </c>
    </row>
    <row r="1143" spans="12:12" x14ac:dyDescent="0.6">
      <c r="L1143" t="str">
        <f t="shared" si="25"/>
        <v/>
      </c>
    </row>
    <row r="1144" spans="12:12" x14ac:dyDescent="0.6">
      <c r="L1144" t="str">
        <f t="shared" si="25"/>
        <v/>
      </c>
    </row>
    <row r="1145" spans="12:12" x14ac:dyDescent="0.6">
      <c r="L1145" t="str">
        <f t="shared" si="25"/>
        <v/>
      </c>
    </row>
    <row r="1146" spans="12:12" x14ac:dyDescent="0.6">
      <c r="L1146" t="str">
        <f t="shared" si="25"/>
        <v/>
      </c>
    </row>
    <row r="1147" spans="12:12" x14ac:dyDescent="0.6">
      <c r="L1147" t="str">
        <f t="shared" si="25"/>
        <v/>
      </c>
    </row>
    <row r="1148" spans="12:12" x14ac:dyDescent="0.6">
      <c r="L1148" t="str">
        <f t="shared" si="25"/>
        <v/>
      </c>
    </row>
    <row r="1149" spans="12:12" x14ac:dyDescent="0.6">
      <c r="L1149" t="str">
        <f t="shared" si="25"/>
        <v/>
      </c>
    </row>
    <row r="1150" spans="12:12" x14ac:dyDescent="0.6">
      <c r="L1150" t="str">
        <f t="shared" si="25"/>
        <v/>
      </c>
    </row>
    <row r="1151" spans="12:12" x14ac:dyDescent="0.6">
      <c r="L1151" t="str">
        <f t="shared" si="25"/>
        <v/>
      </c>
    </row>
    <row r="1152" spans="12:12" x14ac:dyDescent="0.6">
      <c r="L1152" t="str">
        <f t="shared" si="25"/>
        <v/>
      </c>
    </row>
    <row r="1153" spans="12:12" x14ac:dyDescent="0.6">
      <c r="L1153" t="str">
        <f t="shared" si="25"/>
        <v/>
      </c>
    </row>
    <row r="1154" spans="12:12" x14ac:dyDescent="0.6">
      <c r="L1154" t="str">
        <f t="shared" si="25"/>
        <v/>
      </c>
    </row>
    <row r="1155" spans="12:12" x14ac:dyDescent="0.6">
      <c r="L1155" t="str">
        <f t="shared" si="25"/>
        <v/>
      </c>
    </row>
    <row r="1156" spans="12:12" x14ac:dyDescent="0.6">
      <c r="L1156" t="str">
        <f t="shared" si="25"/>
        <v/>
      </c>
    </row>
    <row r="1157" spans="12:12" x14ac:dyDescent="0.6">
      <c r="L1157" t="str">
        <f t="shared" si="25"/>
        <v/>
      </c>
    </row>
    <row r="1158" spans="12:12" x14ac:dyDescent="0.6">
      <c r="L1158" t="str">
        <f t="shared" si="25"/>
        <v/>
      </c>
    </row>
    <row r="1159" spans="12:12" x14ac:dyDescent="0.6">
      <c r="L1159" t="str">
        <f t="shared" si="25"/>
        <v/>
      </c>
    </row>
    <row r="1160" spans="12:12" x14ac:dyDescent="0.6">
      <c r="L1160" t="str">
        <f t="shared" si="25"/>
        <v/>
      </c>
    </row>
    <row r="1161" spans="12:12" x14ac:dyDescent="0.6">
      <c r="L1161" t="str">
        <f t="shared" si="25"/>
        <v/>
      </c>
    </row>
    <row r="1162" spans="12:12" x14ac:dyDescent="0.6">
      <c r="L1162" t="str">
        <f t="shared" si="25"/>
        <v/>
      </c>
    </row>
    <row r="1163" spans="12:12" x14ac:dyDescent="0.6">
      <c r="L1163" t="str">
        <f t="shared" si="25"/>
        <v/>
      </c>
    </row>
    <row r="1164" spans="12:12" x14ac:dyDescent="0.6">
      <c r="L1164" t="str">
        <f t="shared" si="25"/>
        <v/>
      </c>
    </row>
    <row r="1165" spans="12:12" x14ac:dyDescent="0.6">
      <c r="L1165" t="str">
        <f t="shared" si="25"/>
        <v/>
      </c>
    </row>
    <row r="1166" spans="12:12" x14ac:dyDescent="0.6">
      <c r="L1166" t="str">
        <f t="shared" si="25"/>
        <v/>
      </c>
    </row>
    <row r="1167" spans="12:12" x14ac:dyDescent="0.6">
      <c r="L1167" t="str">
        <f t="shared" si="25"/>
        <v/>
      </c>
    </row>
    <row r="1168" spans="12:12" x14ac:dyDescent="0.6">
      <c r="L1168" t="str">
        <f t="shared" si="25"/>
        <v/>
      </c>
    </row>
    <row r="1169" spans="12:12" x14ac:dyDescent="0.6">
      <c r="L1169" t="str">
        <f t="shared" si="25"/>
        <v/>
      </c>
    </row>
    <row r="1170" spans="12:12" x14ac:dyDescent="0.6">
      <c r="L1170" t="str">
        <f t="shared" si="25"/>
        <v/>
      </c>
    </row>
    <row r="1171" spans="12:12" x14ac:dyDescent="0.6">
      <c r="L1171" t="str">
        <f t="shared" si="25"/>
        <v/>
      </c>
    </row>
    <row r="1172" spans="12:12" x14ac:dyDescent="0.6">
      <c r="L1172" t="str">
        <f t="shared" si="25"/>
        <v/>
      </c>
    </row>
    <row r="1173" spans="12:12" x14ac:dyDescent="0.6">
      <c r="L1173" t="str">
        <f t="shared" si="25"/>
        <v/>
      </c>
    </row>
    <row r="1174" spans="12:12" x14ac:dyDescent="0.6">
      <c r="L1174" t="str">
        <f t="shared" si="25"/>
        <v/>
      </c>
    </row>
    <row r="1175" spans="12:12" x14ac:dyDescent="0.6">
      <c r="L1175" t="str">
        <f t="shared" si="25"/>
        <v/>
      </c>
    </row>
    <row r="1176" spans="12:12" x14ac:dyDescent="0.6">
      <c r="L1176" t="str">
        <f t="shared" si="25"/>
        <v/>
      </c>
    </row>
    <row r="1177" spans="12:12" x14ac:dyDescent="0.6">
      <c r="L1177" t="str">
        <f t="shared" si="25"/>
        <v/>
      </c>
    </row>
    <row r="1178" spans="12:12" x14ac:dyDescent="0.6">
      <c r="L1178" t="str">
        <f t="shared" si="25"/>
        <v/>
      </c>
    </row>
    <row r="1179" spans="12:12" x14ac:dyDescent="0.6">
      <c r="L1179" t="str">
        <f t="shared" si="25"/>
        <v/>
      </c>
    </row>
    <row r="1180" spans="12:12" x14ac:dyDescent="0.6">
      <c r="L1180" t="str">
        <f t="shared" si="25"/>
        <v/>
      </c>
    </row>
    <row r="1181" spans="12:12" x14ac:dyDescent="0.6">
      <c r="L1181" t="str">
        <f t="shared" si="25"/>
        <v/>
      </c>
    </row>
    <row r="1182" spans="12:12" x14ac:dyDescent="0.6">
      <c r="L1182" t="str">
        <f t="shared" si="25"/>
        <v/>
      </c>
    </row>
    <row r="1183" spans="12:12" x14ac:dyDescent="0.6">
      <c r="L1183" t="str">
        <f t="shared" si="25"/>
        <v/>
      </c>
    </row>
    <row r="1184" spans="12:12" x14ac:dyDescent="0.6">
      <c r="L1184" t="str">
        <f t="shared" si="25"/>
        <v/>
      </c>
    </row>
    <row r="1185" spans="12:12" x14ac:dyDescent="0.6">
      <c r="L1185" t="str">
        <f t="shared" si="25"/>
        <v/>
      </c>
    </row>
    <row r="1186" spans="12:12" x14ac:dyDescent="0.6">
      <c r="L1186" t="str">
        <f t="shared" si="25"/>
        <v/>
      </c>
    </row>
    <row r="1187" spans="12:12" x14ac:dyDescent="0.6">
      <c r="L1187" t="str">
        <f t="shared" si="25"/>
        <v/>
      </c>
    </row>
    <row r="1188" spans="12:12" x14ac:dyDescent="0.6">
      <c r="L1188" t="str">
        <f t="shared" si="25"/>
        <v/>
      </c>
    </row>
    <row r="1189" spans="12:12" x14ac:dyDescent="0.6">
      <c r="L1189" t="str">
        <f t="shared" ref="L1189:L1225" si="26">IFERROR(INDEX($R$2:$R$99,MATCH(K1189,$Q$2:$Q$99,0)),"")</f>
        <v/>
      </c>
    </row>
    <row r="1190" spans="12:12" x14ac:dyDescent="0.6">
      <c r="L1190" t="str">
        <f t="shared" si="26"/>
        <v/>
      </c>
    </row>
    <row r="1191" spans="12:12" x14ac:dyDescent="0.6">
      <c r="L1191" t="str">
        <f t="shared" si="26"/>
        <v/>
      </c>
    </row>
    <row r="1192" spans="12:12" x14ac:dyDescent="0.6">
      <c r="L1192" t="str">
        <f t="shared" si="26"/>
        <v/>
      </c>
    </row>
    <row r="1193" spans="12:12" x14ac:dyDescent="0.6">
      <c r="L1193" t="str">
        <f t="shared" si="26"/>
        <v/>
      </c>
    </row>
    <row r="1194" spans="12:12" x14ac:dyDescent="0.6">
      <c r="L1194" t="str">
        <f t="shared" si="26"/>
        <v/>
      </c>
    </row>
    <row r="1195" spans="12:12" x14ac:dyDescent="0.6">
      <c r="L1195" t="str">
        <f t="shared" si="26"/>
        <v/>
      </c>
    </row>
    <row r="1196" spans="12:12" x14ac:dyDescent="0.6">
      <c r="L1196" t="str">
        <f t="shared" si="26"/>
        <v/>
      </c>
    </row>
    <row r="1197" spans="12:12" x14ac:dyDescent="0.6">
      <c r="L1197" t="str">
        <f t="shared" si="26"/>
        <v/>
      </c>
    </row>
    <row r="1198" spans="12:12" x14ac:dyDescent="0.6">
      <c r="L1198" t="str">
        <f t="shared" si="26"/>
        <v/>
      </c>
    </row>
    <row r="1199" spans="12:12" x14ac:dyDescent="0.6">
      <c r="L1199" t="str">
        <f t="shared" si="26"/>
        <v/>
      </c>
    </row>
    <row r="1200" spans="12:12" x14ac:dyDescent="0.6">
      <c r="L1200" t="str">
        <f t="shared" si="26"/>
        <v/>
      </c>
    </row>
    <row r="1201" spans="12:12" x14ac:dyDescent="0.6">
      <c r="L1201" t="str">
        <f t="shared" si="26"/>
        <v/>
      </c>
    </row>
    <row r="1202" spans="12:12" x14ac:dyDescent="0.6">
      <c r="L1202" t="str">
        <f t="shared" si="26"/>
        <v/>
      </c>
    </row>
    <row r="1203" spans="12:12" x14ac:dyDescent="0.6">
      <c r="L1203" t="str">
        <f t="shared" si="26"/>
        <v/>
      </c>
    </row>
    <row r="1204" spans="12:12" x14ac:dyDescent="0.6">
      <c r="L1204" t="str">
        <f t="shared" si="26"/>
        <v/>
      </c>
    </row>
    <row r="1205" spans="12:12" x14ac:dyDescent="0.6">
      <c r="L1205" t="str">
        <f t="shared" si="26"/>
        <v/>
      </c>
    </row>
    <row r="1206" spans="12:12" x14ac:dyDescent="0.6">
      <c r="L1206" t="str">
        <f t="shared" si="26"/>
        <v/>
      </c>
    </row>
    <row r="1207" spans="12:12" x14ac:dyDescent="0.6">
      <c r="L1207" t="str">
        <f t="shared" si="26"/>
        <v/>
      </c>
    </row>
    <row r="1208" spans="12:12" x14ac:dyDescent="0.6">
      <c r="L1208" t="str">
        <f t="shared" si="26"/>
        <v/>
      </c>
    </row>
    <row r="1209" spans="12:12" x14ac:dyDescent="0.6">
      <c r="L1209" t="str">
        <f t="shared" si="26"/>
        <v/>
      </c>
    </row>
    <row r="1210" spans="12:12" x14ac:dyDescent="0.6">
      <c r="L1210" t="str">
        <f t="shared" si="26"/>
        <v/>
      </c>
    </row>
    <row r="1211" spans="12:12" x14ac:dyDescent="0.6">
      <c r="L1211" t="str">
        <f t="shared" si="26"/>
        <v/>
      </c>
    </row>
    <row r="1212" spans="12:12" x14ac:dyDescent="0.6">
      <c r="L1212" t="str">
        <f t="shared" si="26"/>
        <v/>
      </c>
    </row>
    <row r="1213" spans="12:12" x14ac:dyDescent="0.6">
      <c r="L1213" t="str">
        <f t="shared" si="26"/>
        <v/>
      </c>
    </row>
    <row r="1214" spans="12:12" x14ac:dyDescent="0.6">
      <c r="L1214" t="str">
        <f t="shared" si="26"/>
        <v/>
      </c>
    </row>
    <row r="1215" spans="12:12" x14ac:dyDescent="0.6">
      <c r="L1215" t="str">
        <f t="shared" si="26"/>
        <v/>
      </c>
    </row>
    <row r="1216" spans="12:12" x14ac:dyDescent="0.6">
      <c r="L1216" t="str">
        <f t="shared" si="26"/>
        <v/>
      </c>
    </row>
    <row r="1217" spans="12:12" x14ac:dyDescent="0.6">
      <c r="L1217" t="str">
        <f t="shared" si="26"/>
        <v/>
      </c>
    </row>
    <row r="1218" spans="12:12" x14ac:dyDescent="0.6">
      <c r="L1218" t="str">
        <f t="shared" si="26"/>
        <v/>
      </c>
    </row>
    <row r="1219" spans="12:12" x14ac:dyDescent="0.6">
      <c r="L1219" t="str">
        <f t="shared" si="26"/>
        <v/>
      </c>
    </row>
    <row r="1220" spans="12:12" x14ac:dyDescent="0.6">
      <c r="L1220" t="str">
        <f t="shared" si="26"/>
        <v/>
      </c>
    </row>
    <row r="1221" spans="12:12" x14ac:dyDescent="0.6">
      <c r="L1221" t="str">
        <f t="shared" si="26"/>
        <v/>
      </c>
    </row>
    <row r="1222" spans="12:12" x14ac:dyDescent="0.6">
      <c r="L1222" t="str">
        <f t="shared" si="26"/>
        <v/>
      </c>
    </row>
    <row r="1223" spans="12:12" x14ac:dyDescent="0.6">
      <c r="L1223" t="str">
        <f t="shared" si="26"/>
        <v/>
      </c>
    </row>
    <row r="1224" spans="12:12" x14ac:dyDescent="0.6">
      <c r="L1224" t="str">
        <f t="shared" si="26"/>
        <v/>
      </c>
    </row>
    <row r="1225" spans="12:12" x14ac:dyDescent="0.6">
      <c r="L1225" t="str">
        <f t="shared" si="26"/>
        <v/>
      </c>
    </row>
  </sheetData>
  <phoneticPr fontId="2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2026-06-11T13:27:53Z</dcterms:modified>
</cp:coreProperties>
</file>